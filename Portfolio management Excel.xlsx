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nsithakkar21/Desktop/Math hw/"/>
    </mc:Choice>
  </mc:AlternateContent>
  <xr:revisionPtr revIDLastSave="0" documentId="8_{F6FAB506-38A4-2C46-B781-E2F0B7C15E4D}" xr6:coauthVersionLast="47" xr6:coauthVersionMax="47" xr10:uidLastSave="{00000000-0000-0000-0000-000000000000}"/>
  <bookViews>
    <workbookView xWindow="0" yWindow="500" windowWidth="28800" windowHeight="16080" xr2:uid="{B2BEBD75-49E1-C54F-83C0-D4B0482DE55B}"/>
  </bookViews>
  <sheets>
    <sheet name="Indv. stocks" sheetId="1" r:id="rId1"/>
    <sheet name="HPR and risk" sheetId="7" r:id="rId2"/>
    <sheet name="Prices " sheetId="5" r:id="rId3"/>
    <sheet name="4 years Indv. stocks " sheetId="8" r:id="rId4"/>
    <sheet name="Correlation 4 years" sheetId="9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9" l="1"/>
  <c r="F7" i="9"/>
  <c r="E7" i="9"/>
  <c r="D7" i="9"/>
  <c r="C7" i="9"/>
  <c r="B7" i="9"/>
  <c r="G6" i="9"/>
  <c r="F6" i="9"/>
  <c r="E6" i="9"/>
  <c r="D6" i="9"/>
  <c r="B6" i="9"/>
  <c r="G5" i="9"/>
  <c r="F5" i="9"/>
  <c r="D5" i="9"/>
  <c r="C5" i="9"/>
  <c r="B5" i="9"/>
  <c r="G4" i="9"/>
  <c r="F4" i="9"/>
  <c r="E4" i="9"/>
  <c r="C4" i="9"/>
  <c r="B4" i="9"/>
  <c r="G3" i="9"/>
  <c r="F3" i="9"/>
  <c r="E3" i="9"/>
  <c r="D3" i="9"/>
  <c r="B3" i="9"/>
  <c r="G2" i="9"/>
  <c r="F2" i="9"/>
  <c r="E2" i="9"/>
  <c r="D2" i="9"/>
  <c r="C2" i="9"/>
  <c r="B2" i="9"/>
  <c r="AB215" i="8"/>
  <c r="AB213" i="8"/>
  <c r="V213" i="8"/>
  <c r="U213" i="8"/>
  <c r="T213" i="8"/>
  <c r="AB212" i="8"/>
  <c r="W212" i="8"/>
  <c r="V212" i="8"/>
  <c r="Z56" i="8"/>
  <c r="Y56" i="8"/>
  <c r="X56" i="8"/>
  <c r="X212" i="8" s="1"/>
  <c r="W56" i="8"/>
  <c r="W213" i="8" s="1"/>
  <c r="V56" i="8"/>
  <c r="U56" i="8"/>
  <c r="T56" i="8"/>
  <c r="S56" i="8"/>
  <c r="R56" i="8"/>
  <c r="G56" i="8"/>
  <c r="AA55" i="8"/>
  <c r="AA214" i="8" s="1"/>
  <c r="Z55" i="8"/>
  <c r="Y55" i="8"/>
  <c r="X55" i="8"/>
  <c r="W55" i="8"/>
  <c r="V55" i="8"/>
  <c r="V215" i="8" s="1"/>
  <c r="U55" i="8"/>
  <c r="U212" i="8" s="1"/>
  <c r="T55" i="8"/>
  <c r="T212" i="8" s="1"/>
  <c r="S55" i="8"/>
  <c r="S214" i="8" s="1"/>
  <c r="R55" i="8"/>
  <c r="Q55" i="8"/>
  <c r="K55" i="8"/>
  <c r="I55" i="8"/>
  <c r="M52" i="8"/>
  <c r="M51" i="8"/>
  <c r="K51" i="8"/>
  <c r="M50" i="8"/>
  <c r="M56" i="8" s="1"/>
  <c r="K50" i="8"/>
  <c r="K56" i="8" s="1"/>
  <c r="Q49" i="8"/>
  <c r="M49" i="8"/>
  <c r="K49" i="8"/>
  <c r="J49" i="8"/>
  <c r="I49" i="8"/>
  <c r="G49" i="8"/>
  <c r="Q48" i="8"/>
  <c r="M48" i="8"/>
  <c r="K48" i="8"/>
  <c r="I48" i="8"/>
  <c r="I50" i="8" s="1"/>
  <c r="I56" i="8" s="1"/>
  <c r="G48" i="8"/>
  <c r="G50" i="8" s="1"/>
  <c r="Q47" i="8"/>
  <c r="G47" i="8"/>
  <c r="Q46" i="8"/>
  <c r="M46" i="8"/>
  <c r="K46" i="8"/>
  <c r="K52" i="8" s="1"/>
  <c r="I46" i="8"/>
  <c r="H46" i="8"/>
  <c r="H53" i="8" s="1"/>
  <c r="G46" i="8"/>
  <c r="P45" i="8"/>
  <c r="O45" i="8"/>
  <c r="N45" i="8"/>
  <c r="L45" i="8"/>
  <c r="J45" i="8"/>
  <c r="H45" i="8"/>
  <c r="F45" i="8"/>
  <c r="E45" i="8"/>
  <c r="D45" i="8"/>
  <c r="C45" i="8"/>
  <c r="P44" i="8"/>
  <c r="O44" i="8"/>
  <c r="N44" i="8"/>
  <c r="L44" i="8"/>
  <c r="J44" i="8"/>
  <c r="H44" i="8"/>
  <c r="F44" i="8"/>
  <c r="E44" i="8"/>
  <c r="D44" i="8"/>
  <c r="C44" i="8"/>
  <c r="P43" i="8"/>
  <c r="O43" i="8"/>
  <c r="N43" i="8"/>
  <c r="L43" i="8"/>
  <c r="J43" i="8"/>
  <c r="H43" i="8"/>
  <c r="F43" i="8"/>
  <c r="E43" i="8"/>
  <c r="D43" i="8"/>
  <c r="C43" i="8"/>
  <c r="P42" i="8"/>
  <c r="O42" i="8"/>
  <c r="N42" i="8"/>
  <c r="L42" i="8"/>
  <c r="J42" i="8"/>
  <c r="H42" i="8"/>
  <c r="F42" i="8"/>
  <c r="E42" i="8"/>
  <c r="D42" i="8"/>
  <c r="C42" i="8"/>
  <c r="P41" i="8"/>
  <c r="O41" i="8"/>
  <c r="N41" i="8"/>
  <c r="L41" i="8"/>
  <c r="J41" i="8"/>
  <c r="H41" i="8"/>
  <c r="F41" i="8"/>
  <c r="E41" i="8"/>
  <c r="D41" i="8"/>
  <c r="C41" i="8"/>
  <c r="P40" i="8"/>
  <c r="O40" i="8"/>
  <c r="N40" i="8"/>
  <c r="L40" i="8"/>
  <c r="J40" i="8"/>
  <c r="H40" i="8"/>
  <c r="F40" i="8"/>
  <c r="E40" i="8"/>
  <c r="D40" i="8"/>
  <c r="C40" i="8"/>
  <c r="P39" i="8"/>
  <c r="O39" i="8"/>
  <c r="N39" i="8"/>
  <c r="L39" i="8"/>
  <c r="J39" i="8"/>
  <c r="H39" i="8"/>
  <c r="F39" i="8"/>
  <c r="E39" i="8"/>
  <c r="D39" i="8"/>
  <c r="C39" i="8"/>
  <c r="P38" i="8"/>
  <c r="O38" i="8"/>
  <c r="N38" i="8"/>
  <c r="L38" i="8"/>
  <c r="J38" i="8"/>
  <c r="H38" i="8"/>
  <c r="F38" i="8"/>
  <c r="E38" i="8"/>
  <c r="D38" i="8"/>
  <c r="C38" i="8"/>
  <c r="P37" i="8"/>
  <c r="O37" i="8"/>
  <c r="N37" i="8"/>
  <c r="L37" i="8"/>
  <c r="J37" i="8"/>
  <c r="H37" i="8"/>
  <c r="F37" i="8"/>
  <c r="E37" i="8"/>
  <c r="D37" i="8"/>
  <c r="C37" i="8"/>
  <c r="P36" i="8"/>
  <c r="O36" i="8"/>
  <c r="N36" i="8"/>
  <c r="L36" i="8"/>
  <c r="J36" i="8"/>
  <c r="H36" i="8"/>
  <c r="F36" i="8"/>
  <c r="E36" i="8"/>
  <c r="D36" i="8"/>
  <c r="C36" i="8"/>
  <c r="P35" i="8"/>
  <c r="O35" i="8"/>
  <c r="N35" i="8"/>
  <c r="L35" i="8"/>
  <c r="J35" i="8"/>
  <c r="H35" i="8"/>
  <c r="F35" i="8"/>
  <c r="E35" i="8"/>
  <c r="D35" i="8"/>
  <c r="C35" i="8"/>
  <c r="P34" i="8"/>
  <c r="O34" i="8"/>
  <c r="N34" i="8"/>
  <c r="L34" i="8"/>
  <c r="J34" i="8"/>
  <c r="H34" i="8"/>
  <c r="F34" i="8"/>
  <c r="E34" i="8"/>
  <c r="D34" i="8"/>
  <c r="C34" i="8"/>
  <c r="P33" i="8"/>
  <c r="O33" i="8"/>
  <c r="N33" i="8"/>
  <c r="L33" i="8"/>
  <c r="J33" i="8"/>
  <c r="H33" i="8"/>
  <c r="F33" i="8"/>
  <c r="E33" i="8"/>
  <c r="D33" i="8"/>
  <c r="C33" i="8"/>
  <c r="P32" i="8"/>
  <c r="O32" i="8"/>
  <c r="N32" i="8"/>
  <c r="L32" i="8"/>
  <c r="J32" i="8"/>
  <c r="H32" i="8"/>
  <c r="F32" i="8"/>
  <c r="E32" i="8"/>
  <c r="D32" i="8"/>
  <c r="C32" i="8"/>
  <c r="P31" i="8"/>
  <c r="O31" i="8"/>
  <c r="N31" i="8"/>
  <c r="L31" i="8"/>
  <c r="J31" i="8"/>
  <c r="H31" i="8"/>
  <c r="F31" i="8"/>
  <c r="E31" i="8"/>
  <c r="D31" i="8"/>
  <c r="C31" i="8"/>
  <c r="P30" i="8"/>
  <c r="O30" i="8"/>
  <c r="N30" i="8"/>
  <c r="L30" i="8"/>
  <c r="J30" i="8"/>
  <c r="H30" i="8"/>
  <c r="F30" i="8"/>
  <c r="E30" i="8"/>
  <c r="D30" i="8"/>
  <c r="C30" i="8"/>
  <c r="P29" i="8"/>
  <c r="O29" i="8"/>
  <c r="N29" i="8"/>
  <c r="L29" i="8"/>
  <c r="J29" i="8"/>
  <c r="H29" i="8"/>
  <c r="F29" i="8"/>
  <c r="E29" i="8"/>
  <c r="D29" i="8"/>
  <c r="C29" i="8"/>
  <c r="P28" i="8"/>
  <c r="O28" i="8"/>
  <c r="N28" i="8"/>
  <c r="L28" i="8"/>
  <c r="J28" i="8"/>
  <c r="H28" i="8"/>
  <c r="F28" i="8"/>
  <c r="E28" i="8"/>
  <c r="D28" i="8"/>
  <c r="C28" i="8"/>
  <c r="P27" i="8"/>
  <c r="O27" i="8"/>
  <c r="N27" i="8"/>
  <c r="L27" i="8"/>
  <c r="J27" i="8"/>
  <c r="H27" i="8"/>
  <c r="F27" i="8"/>
  <c r="E27" i="8"/>
  <c r="D27" i="8"/>
  <c r="C27" i="8"/>
  <c r="P26" i="8"/>
  <c r="O26" i="8"/>
  <c r="N26" i="8"/>
  <c r="L26" i="8"/>
  <c r="J26" i="8"/>
  <c r="H26" i="8"/>
  <c r="F26" i="8"/>
  <c r="E26" i="8"/>
  <c r="D26" i="8"/>
  <c r="C26" i="8"/>
  <c r="P25" i="8"/>
  <c r="O25" i="8"/>
  <c r="N25" i="8"/>
  <c r="L25" i="8"/>
  <c r="J25" i="8"/>
  <c r="H25" i="8"/>
  <c r="F25" i="8"/>
  <c r="E25" i="8"/>
  <c r="D25" i="8"/>
  <c r="C25" i="8"/>
  <c r="P24" i="8"/>
  <c r="O24" i="8"/>
  <c r="N24" i="8"/>
  <c r="L24" i="8"/>
  <c r="J24" i="8"/>
  <c r="H24" i="8"/>
  <c r="F24" i="8"/>
  <c r="E24" i="8"/>
  <c r="D24" i="8"/>
  <c r="C24" i="8"/>
  <c r="P23" i="8"/>
  <c r="O23" i="8"/>
  <c r="N23" i="8"/>
  <c r="L23" i="8"/>
  <c r="J23" i="8"/>
  <c r="H23" i="8"/>
  <c r="F23" i="8"/>
  <c r="E23" i="8"/>
  <c r="D23" i="8"/>
  <c r="C23" i="8"/>
  <c r="P22" i="8"/>
  <c r="O22" i="8"/>
  <c r="N22" i="8"/>
  <c r="L22" i="8"/>
  <c r="J22" i="8"/>
  <c r="H22" i="8"/>
  <c r="F22" i="8"/>
  <c r="E22" i="8"/>
  <c r="D22" i="8"/>
  <c r="C22" i="8"/>
  <c r="P21" i="8"/>
  <c r="O21" i="8"/>
  <c r="N21" i="8"/>
  <c r="L21" i="8"/>
  <c r="J21" i="8"/>
  <c r="H21" i="8"/>
  <c r="F21" i="8"/>
  <c r="E21" i="8"/>
  <c r="D21" i="8"/>
  <c r="C21" i="8"/>
  <c r="P20" i="8"/>
  <c r="O20" i="8"/>
  <c r="N20" i="8"/>
  <c r="L20" i="8"/>
  <c r="J20" i="8"/>
  <c r="H20" i="8"/>
  <c r="F20" i="8"/>
  <c r="E20" i="8"/>
  <c r="D20" i="8"/>
  <c r="C20" i="8"/>
  <c r="P19" i="8"/>
  <c r="O19" i="8"/>
  <c r="N19" i="8"/>
  <c r="L19" i="8"/>
  <c r="J19" i="8"/>
  <c r="H19" i="8"/>
  <c r="F19" i="8"/>
  <c r="E19" i="8"/>
  <c r="D19" i="8"/>
  <c r="C19" i="8"/>
  <c r="P18" i="8"/>
  <c r="O18" i="8"/>
  <c r="N18" i="8"/>
  <c r="L18" i="8"/>
  <c r="J18" i="8"/>
  <c r="H18" i="8"/>
  <c r="F18" i="8"/>
  <c r="E18" i="8"/>
  <c r="D18" i="8"/>
  <c r="C18" i="8"/>
  <c r="P17" i="8"/>
  <c r="O17" i="8"/>
  <c r="N17" i="8"/>
  <c r="L17" i="8"/>
  <c r="J17" i="8"/>
  <c r="H17" i="8"/>
  <c r="F17" i="8"/>
  <c r="E17" i="8"/>
  <c r="D17" i="8"/>
  <c r="C17" i="8"/>
  <c r="P16" i="8"/>
  <c r="O16" i="8"/>
  <c r="N16" i="8"/>
  <c r="L16" i="8"/>
  <c r="J16" i="8"/>
  <c r="H16" i="8"/>
  <c r="F16" i="8"/>
  <c r="E16" i="8"/>
  <c r="D16" i="8"/>
  <c r="C16" i="8"/>
  <c r="P15" i="8"/>
  <c r="O15" i="8"/>
  <c r="N15" i="8"/>
  <c r="L15" i="8"/>
  <c r="J15" i="8"/>
  <c r="H15" i="8"/>
  <c r="F15" i="8"/>
  <c r="E15" i="8"/>
  <c r="D15" i="8"/>
  <c r="C15" i="8"/>
  <c r="P14" i="8"/>
  <c r="O14" i="8"/>
  <c r="N14" i="8"/>
  <c r="L14" i="8"/>
  <c r="J14" i="8"/>
  <c r="H14" i="8"/>
  <c r="F14" i="8"/>
  <c r="E14" i="8"/>
  <c r="D14" i="8"/>
  <c r="C14" i="8"/>
  <c r="P13" i="8"/>
  <c r="O13" i="8"/>
  <c r="N13" i="8"/>
  <c r="L13" i="8"/>
  <c r="J13" i="8"/>
  <c r="H13" i="8"/>
  <c r="F13" i="8"/>
  <c r="E13" i="8"/>
  <c r="D13" i="8"/>
  <c r="C13" i="8"/>
  <c r="P12" i="8"/>
  <c r="O12" i="8"/>
  <c r="N12" i="8"/>
  <c r="L12" i="8"/>
  <c r="J12" i="8"/>
  <c r="H12" i="8"/>
  <c r="F12" i="8"/>
  <c r="E12" i="8"/>
  <c r="D12" i="8"/>
  <c r="C12" i="8"/>
  <c r="P11" i="8"/>
  <c r="O11" i="8"/>
  <c r="N11" i="8"/>
  <c r="L11" i="8"/>
  <c r="J11" i="8"/>
  <c r="H11" i="8"/>
  <c r="F11" i="8"/>
  <c r="E11" i="8"/>
  <c r="D11" i="8"/>
  <c r="C11" i="8"/>
  <c r="P10" i="8"/>
  <c r="O10" i="8"/>
  <c r="N10" i="8"/>
  <c r="L10" i="8"/>
  <c r="J10" i="8"/>
  <c r="H10" i="8"/>
  <c r="F10" i="8"/>
  <c r="E10" i="8"/>
  <c r="D10" i="8"/>
  <c r="C10" i="8"/>
  <c r="P9" i="8"/>
  <c r="O9" i="8"/>
  <c r="N9" i="8"/>
  <c r="L9" i="8"/>
  <c r="J9" i="8"/>
  <c r="H9" i="8"/>
  <c r="F9" i="8"/>
  <c r="E9" i="8"/>
  <c r="D9" i="8"/>
  <c r="C9" i="8"/>
  <c r="P8" i="8"/>
  <c r="O8" i="8"/>
  <c r="N8" i="8"/>
  <c r="L8" i="8"/>
  <c r="J8" i="8"/>
  <c r="H8" i="8"/>
  <c r="F8" i="8"/>
  <c r="E8" i="8"/>
  <c r="D8" i="8"/>
  <c r="C8" i="8"/>
  <c r="P7" i="8"/>
  <c r="O7" i="8"/>
  <c r="N7" i="8"/>
  <c r="L7" i="8"/>
  <c r="J7" i="8"/>
  <c r="H7" i="8"/>
  <c r="F7" i="8"/>
  <c r="E7" i="8"/>
  <c r="D7" i="8"/>
  <c r="C7" i="8"/>
  <c r="P6" i="8"/>
  <c r="O6" i="8"/>
  <c r="N6" i="8"/>
  <c r="L6" i="8"/>
  <c r="J6" i="8"/>
  <c r="H6" i="8"/>
  <c r="H47" i="8" s="1"/>
  <c r="F6" i="8"/>
  <c r="E6" i="8"/>
  <c r="D6" i="8"/>
  <c r="C6" i="8"/>
  <c r="P5" i="8"/>
  <c r="O5" i="8"/>
  <c r="N5" i="8"/>
  <c r="L5" i="8"/>
  <c r="L49" i="8" s="1"/>
  <c r="J5" i="8"/>
  <c r="J48" i="8" s="1"/>
  <c r="J50" i="8" s="1"/>
  <c r="J56" i="8" s="1"/>
  <c r="H5" i="8"/>
  <c r="H49" i="8" s="1"/>
  <c r="F5" i="8"/>
  <c r="E5" i="8"/>
  <c r="D5" i="8"/>
  <c r="C5" i="8"/>
  <c r="P4" i="8"/>
  <c r="P46" i="8" s="1"/>
  <c r="O4" i="8"/>
  <c r="N4" i="8"/>
  <c r="L4" i="8"/>
  <c r="J4" i="8"/>
  <c r="H4" i="8"/>
  <c r="F4" i="8"/>
  <c r="E4" i="8"/>
  <c r="D4" i="8"/>
  <c r="C4" i="8"/>
  <c r="C3" i="8"/>
  <c r="J11" i="5"/>
  <c r="F11" i="5"/>
  <c r="J10" i="5"/>
  <c r="K10" i="5" s="1"/>
  <c r="F10" i="5"/>
  <c r="K9" i="5"/>
  <c r="J9" i="5"/>
  <c r="M9" i="5" s="1"/>
  <c r="F9" i="5"/>
  <c r="J8" i="5"/>
  <c r="M8" i="5" s="1"/>
  <c r="F8" i="5"/>
  <c r="J7" i="5"/>
  <c r="K7" i="5" s="1"/>
  <c r="I7" i="5"/>
  <c r="F7" i="5"/>
  <c r="K6" i="5"/>
  <c r="J6" i="5"/>
  <c r="F6" i="5"/>
  <c r="I6" i="5" s="1"/>
  <c r="J5" i="5"/>
  <c r="K5" i="5" s="1"/>
  <c r="I5" i="5"/>
  <c r="F5" i="5"/>
  <c r="K4" i="5"/>
  <c r="J4" i="5"/>
  <c r="F4" i="5"/>
  <c r="I4" i="5" s="1"/>
  <c r="J3" i="5"/>
  <c r="K3" i="5" s="1"/>
  <c r="I3" i="5"/>
  <c r="F3" i="5"/>
  <c r="K2" i="5"/>
  <c r="J2" i="5"/>
  <c r="B12" i="5" s="1"/>
  <c r="F2" i="5"/>
  <c r="B13" i="5" s="1"/>
  <c r="P55" i="8" l="1"/>
  <c r="N47" i="8"/>
  <c r="N48" i="8"/>
  <c r="N50" i="8" s="1"/>
  <c r="N56" i="8" s="1"/>
  <c r="M47" i="8"/>
  <c r="N49" i="8"/>
  <c r="G53" i="8"/>
  <c r="R214" i="8"/>
  <c r="R216" i="8" s="1"/>
  <c r="R222" i="8" s="1"/>
  <c r="R213" i="8"/>
  <c r="R212" i="8"/>
  <c r="R215" i="8"/>
  <c r="Z214" i="8"/>
  <c r="Z216" i="8" s="1"/>
  <c r="Z222" i="8" s="1"/>
  <c r="Z213" i="8"/>
  <c r="Z212" i="8"/>
  <c r="Z215" i="8"/>
  <c r="AB214" i="8"/>
  <c r="AB216" i="8" s="1"/>
  <c r="Y215" i="8"/>
  <c r="Y214" i="8"/>
  <c r="Y216" i="8" s="1"/>
  <c r="Y222" i="8" s="1"/>
  <c r="Y212" i="8"/>
  <c r="Y213" i="8"/>
  <c r="J47" i="8"/>
  <c r="J46" i="8"/>
  <c r="O48" i="8"/>
  <c r="O49" i="8"/>
  <c r="C48" i="8"/>
  <c r="C47" i="8"/>
  <c r="C49" i="8"/>
  <c r="C212" i="8"/>
  <c r="C46" i="8"/>
  <c r="O47" i="8"/>
  <c r="T221" i="8"/>
  <c r="T219" i="8"/>
  <c r="N46" i="8"/>
  <c r="P47" i="8"/>
  <c r="P48" i="8"/>
  <c r="U221" i="8"/>
  <c r="U219" i="8"/>
  <c r="V221" i="8"/>
  <c r="V219" i="8"/>
  <c r="V218" i="8"/>
  <c r="H55" i="8"/>
  <c r="I47" i="8"/>
  <c r="I53" i="8" s="1"/>
  <c r="D46" i="8"/>
  <c r="D49" i="8"/>
  <c r="D47" i="8"/>
  <c r="D48" i="8"/>
  <c r="Q50" i="8"/>
  <c r="Q56" i="8" s="1"/>
  <c r="X221" i="8"/>
  <c r="W221" i="8"/>
  <c r="W219" i="8"/>
  <c r="F46" i="8"/>
  <c r="W215" i="8"/>
  <c r="S216" i="8"/>
  <c r="S222" i="8" s="1"/>
  <c r="P49" i="8"/>
  <c r="F47" i="8"/>
  <c r="O46" i="8"/>
  <c r="G55" i="8"/>
  <c r="G51" i="8"/>
  <c r="G214" i="8" s="1"/>
  <c r="G52" i="8"/>
  <c r="H48" i="8"/>
  <c r="H50" i="8" s="1"/>
  <c r="H56" i="8" s="1"/>
  <c r="X215" i="8"/>
  <c r="T214" i="8"/>
  <c r="T216" i="8" s="1"/>
  <c r="T222" i="8" s="1"/>
  <c r="U214" i="8"/>
  <c r="U216" i="8" s="1"/>
  <c r="U222" i="8" s="1"/>
  <c r="S215" i="8"/>
  <c r="AA215" i="8"/>
  <c r="AA216" i="8" s="1"/>
  <c r="E49" i="8"/>
  <c r="I52" i="8"/>
  <c r="V214" i="8"/>
  <c r="V216" i="8" s="1"/>
  <c r="V222" i="8" s="1"/>
  <c r="T215" i="8"/>
  <c r="K47" i="8"/>
  <c r="L47" i="8"/>
  <c r="E48" i="8"/>
  <c r="E50" i="8" s="1"/>
  <c r="E56" i="8" s="1"/>
  <c r="F49" i="8"/>
  <c r="S212" i="8"/>
  <c r="AA212" i="8"/>
  <c r="AA221" i="8" s="1"/>
  <c r="I213" i="8"/>
  <c r="W214" i="8"/>
  <c r="U215" i="8"/>
  <c r="Q212" i="8"/>
  <c r="L48" i="8"/>
  <c r="L50" i="8" s="1"/>
  <c r="L56" i="8" s="1"/>
  <c r="M55" i="8"/>
  <c r="X213" i="8"/>
  <c r="X219" i="8" s="1"/>
  <c r="L46" i="8"/>
  <c r="E47" i="8"/>
  <c r="F48" i="8"/>
  <c r="F50" i="8" s="1"/>
  <c r="F56" i="8" s="1"/>
  <c r="I51" i="8"/>
  <c r="M53" i="8"/>
  <c r="M215" i="8" s="1"/>
  <c r="X214" i="8"/>
  <c r="X216" i="8" s="1"/>
  <c r="X222" i="8" s="1"/>
  <c r="E46" i="8"/>
  <c r="S213" i="8"/>
  <c r="AA213" i="8"/>
  <c r="I214" i="8"/>
  <c r="L10" i="5"/>
  <c r="L8" i="5"/>
  <c r="L11" i="5"/>
  <c r="L5" i="5"/>
  <c r="L9" i="5"/>
  <c r="L6" i="5"/>
  <c r="L2" i="5"/>
  <c r="L7" i="5"/>
  <c r="L3" i="5"/>
  <c r="L4" i="5"/>
  <c r="M5" i="5"/>
  <c r="M6" i="5"/>
  <c r="M2" i="5"/>
  <c r="M7" i="5"/>
  <c r="M3" i="5"/>
  <c r="M4" i="5"/>
  <c r="M11" i="5"/>
  <c r="I2" i="5"/>
  <c r="M10" i="5"/>
  <c r="K11" i="5"/>
  <c r="K8" i="5"/>
  <c r="G216" i="8" l="1"/>
  <c r="G222" i="8" s="1"/>
  <c r="D55" i="8"/>
  <c r="D53" i="8"/>
  <c r="M212" i="8"/>
  <c r="J212" i="8"/>
  <c r="W216" i="8"/>
  <c r="F53" i="8"/>
  <c r="F51" i="8"/>
  <c r="F55" i="8"/>
  <c r="F52" i="8"/>
  <c r="F214" i="8" s="1"/>
  <c r="F216" i="8" s="1"/>
  <c r="F222" i="8" s="1"/>
  <c r="F212" i="8"/>
  <c r="Q214" i="8"/>
  <c r="Q216" i="8" s="1"/>
  <c r="Q222" i="8" s="1"/>
  <c r="J213" i="8"/>
  <c r="Q213" i="8"/>
  <c r="G213" i="8"/>
  <c r="V217" i="8"/>
  <c r="P50" i="8"/>
  <c r="G215" i="8"/>
  <c r="C53" i="8"/>
  <c r="C55" i="8"/>
  <c r="C51" i="8"/>
  <c r="Z221" i="8"/>
  <c r="Z219" i="8"/>
  <c r="Z218" i="8"/>
  <c r="Z217" i="8"/>
  <c r="I215" i="8"/>
  <c r="G212" i="8"/>
  <c r="N53" i="8"/>
  <c r="N51" i="8"/>
  <c r="N212" i="8" s="1"/>
  <c r="N55" i="8"/>
  <c r="N52" i="8"/>
  <c r="C221" i="8"/>
  <c r="P53" i="8"/>
  <c r="K214" i="8"/>
  <c r="K213" i="8"/>
  <c r="K53" i="8"/>
  <c r="I216" i="8"/>
  <c r="I222" i="8" s="1"/>
  <c r="M214" i="8"/>
  <c r="M216" i="8" s="1"/>
  <c r="M222" i="8" s="1"/>
  <c r="D50" i="8"/>
  <c r="D56" i="8" s="1"/>
  <c r="H51" i="8"/>
  <c r="U217" i="8"/>
  <c r="T217" i="8"/>
  <c r="X218" i="8"/>
  <c r="K215" i="8"/>
  <c r="Q221" i="8"/>
  <c r="Q219" i="8"/>
  <c r="J214" i="8"/>
  <c r="I212" i="8"/>
  <c r="S221" i="8"/>
  <c r="S219" i="8"/>
  <c r="S218" i="8"/>
  <c r="S217" i="8"/>
  <c r="Q215" i="8"/>
  <c r="O55" i="8"/>
  <c r="O51" i="8"/>
  <c r="O52" i="8"/>
  <c r="O53" i="8"/>
  <c r="F213" i="8"/>
  <c r="O50" i="8"/>
  <c r="Y221" i="8"/>
  <c r="Y219" i="8"/>
  <c r="Y218" i="8"/>
  <c r="Y217" i="8"/>
  <c r="E53" i="8"/>
  <c r="E213" i="8" s="1"/>
  <c r="E55" i="8"/>
  <c r="E51" i="8"/>
  <c r="E212" i="8" s="1"/>
  <c r="E52" i="8"/>
  <c r="K212" i="8"/>
  <c r="F215" i="8"/>
  <c r="L52" i="8"/>
  <c r="L212" i="8" s="1"/>
  <c r="L55" i="8"/>
  <c r="L53" i="8"/>
  <c r="L51" i="8"/>
  <c r="X217" i="8"/>
  <c r="H52" i="8"/>
  <c r="H215" i="8" s="1"/>
  <c r="U218" i="8"/>
  <c r="T218" i="8"/>
  <c r="C50" i="8"/>
  <c r="C56" i="8" s="1"/>
  <c r="J51" i="8"/>
  <c r="J53" i="8"/>
  <c r="J52" i="8"/>
  <c r="J215" i="8" s="1"/>
  <c r="J55" i="8"/>
  <c r="R221" i="8"/>
  <c r="R219" i="8"/>
  <c r="R218" i="8"/>
  <c r="R217" i="8"/>
  <c r="M213" i="8"/>
  <c r="N221" i="8" l="1"/>
  <c r="C214" i="8"/>
  <c r="O213" i="8"/>
  <c r="O214" i="8"/>
  <c r="L221" i="8"/>
  <c r="E221" i="8"/>
  <c r="E219" i="8"/>
  <c r="L214" i="8"/>
  <c r="J216" i="8"/>
  <c r="J222" i="8" s="1"/>
  <c r="H212" i="8"/>
  <c r="K221" i="8"/>
  <c r="K219" i="8"/>
  <c r="AD55" i="8"/>
  <c r="M221" i="8"/>
  <c r="M219" i="8"/>
  <c r="M218" i="8"/>
  <c r="M217" i="8"/>
  <c r="C215" i="8"/>
  <c r="K216" i="8"/>
  <c r="K222" i="8" s="1"/>
  <c r="D52" i="8"/>
  <c r="D214" i="8" s="1"/>
  <c r="D216" i="8" s="1"/>
  <c r="D222" i="8" s="1"/>
  <c r="N215" i="8"/>
  <c r="N214" i="8"/>
  <c r="J221" i="8"/>
  <c r="J219" i="8"/>
  <c r="J218" i="8"/>
  <c r="J217" i="8"/>
  <c r="E215" i="8"/>
  <c r="F221" i="8"/>
  <c r="F219" i="8"/>
  <c r="F218" i="8"/>
  <c r="F217" i="8"/>
  <c r="D51" i="8"/>
  <c r="D213" i="8" s="1"/>
  <c r="L215" i="8"/>
  <c r="P56" i="8"/>
  <c r="P52" i="8"/>
  <c r="P213" i="8" s="1"/>
  <c r="P51" i="8"/>
  <c r="P215" i="8" s="1"/>
  <c r="W222" i="8"/>
  <c r="W218" i="8"/>
  <c r="W217" i="8"/>
  <c r="I221" i="8"/>
  <c r="I219" i="8"/>
  <c r="I218" i="8"/>
  <c r="I217" i="8"/>
  <c r="E214" i="8"/>
  <c r="G221" i="8"/>
  <c r="G219" i="8"/>
  <c r="G218" i="8"/>
  <c r="G217" i="8"/>
  <c r="Q218" i="8"/>
  <c r="H214" i="8"/>
  <c r="H216" i="8" s="1"/>
  <c r="H222" i="8" s="1"/>
  <c r="H213" i="8"/>
  <c r="N213" i="8"/>
  <c r="N219" i="8" s="1"/>
  <c r="L213" i="8"/>
  <c r="L219" i="8" s="1"/>
  <c r="O56" i="8"/>
  <c r="AD56" i="8" s="1"/>
  <c r="O212" i="8"/>
  <c r="D215" i="8"/>
  <c r="C52" i="8"/>
  <c r="Q217" i="8"/>
  <c r="C213" i="8"/>
  <c r="C219" i="8" s="1"/>
  <c r="O221" i="8" l="1"/>
  <c r="O219" i="8"/>
  <c r="C216" i="8"/>
  <c r="O215" i="8"/>
  <c r="O216" i="8" s="1"/>
  <c r="P214" i="8"/>
  <c r="P216" i="8" s="1"/>
  <c r="P222" i="8" s="1"/>
  <c r="D212" i="8"/>
  <c r="H221" i="8"/>
  <c r="H219" i="8"/>
  <c r="H218" i="8"/>
  <c r="H217" i="8"/>
  <c r="P212" i="8"/>
  <c r="K218" i="8"/>
  <c r="N216" i="8"/>
  <c r="K217" i="8"/>
  <c r="E216" i="8"/>
  <c r="L216" i="8"/>
  <c r="O222" i="8" l="1"/>
  <c r="O218" i="8"/>
  <c r="O217" i="8"/>
  <c r="N222" i="8"/>
  <c r="N218" i="8"/>
  <c r="N217" i="8"/>
  <c r="P221" i="8"/>
  <c r="P219" i="8"/>
  <c r="P218" i="8"/>
  <c r="P217" i="8"/>
  <c r="C222" i="8"/>
  <c r="C217" i="8"/>
  <c r="C218" i="8"/>
  <c r="L222" i="8"/>
  <c r="L218" i="8"/>
  <c r="L217" i="8"/>
  <c r="E222" i="8"/>
  <c r="E218" i="8"/>
  <c r="E217" i="8"/>
  <c r="D221" i="8"/>
  <c r="D219" i="8"/>
  <c r="D218" i="8"/>
  <c r="D217" i="8"/>
  <c r="AD221" i="8" l="1"/>
  <c r="AD222" i="8"/>
  <c r="I14" i="7"/>
  <c r="H14" i="7"/>
  <c r="H13" i="7"/>
  <c r="H12" i="7"/>
  <c r="H11" i="7"/>
  <c r="H10" i="7"/>
  <c r="H9" i="7"/>
  <c r="H8" i="7"/>
  <c r="H7" i="7"/>
  <c r="H6" i="7"/>
  <c r="H5" i="7"/>
  <c r="H4" i="7"/>
  <c r="H3" i="7"/>
  <c r="G14" i="7"/>
  <c r="G13" i="7"/>
  <c r="G12" i="7"/>
  <c r="G11" i="7"/>
  <c r="G10" i="7"/>
  <c r="G9" i="7"/>
  <c r="G8" i="7"/>
  <c r="G7" i="7"/>
  <c r="G6" i="7"/>
  <c r="G5" i="7"/>
  <c r="G4" i="7"/>
  <c r="G3" i="7"/>
  <c r="F14" i="7"/>
  <c r="F13" i="7"/>
  <c r="F12" i="7"/>
  <c r="F11" i="7"/>
  <c r="F10" i="7"/>
  <c r="F9" i="7"/>
  <c r="F8" i="7"/>
  <c r="F7" i="7"/>
  <c r="F6" i="7"/>
  <c r="F5" i="7"/>
  <c r="F4" i="7"/>
  <c r="F3" i="7"/>
  <c r="E14" i="7"/>
  <c r="E13" i="7"/>
  <c r="E12" i="7"/>
  <c r="E11" i="7"/>
  <c r="E10" i="7"/>
  <c r="E9" i="7"/>
  <c r="E8" i="7"/>
  <c r="E7" i="7"/>
  <c r="E6" i="7"/>
  <c r="E5" i="7"/>
  <c r="E4" i="7"/>
  <c r="E3" i="7"/>
  <c r="G53" i="1"/>
  <c r="C14" i="7"/>
  <c r="C4" i="7"/>
  <c r="C5" i="7"/>
  <c r="C6" i="7"/>
  <c r="C7" i="7"/>
  <c r="C8" i="7"/>
  <c r="C9" i="7"/>
  <c r="C10" i="7"/>
  <c r="C11" i="7"/>
  <c r="C12" i="7"/>
  <c r="C13" i="7"/>
  <c r="C3" i="7"/>
  <c r="AG50" i="1"/>
  <c r="AG49" i="1"/>
  <c r="Z13" i="1"/>
  <c r="Z14" i="1"/>
  <c r="Z15" i="1"/>
  <c r="Z16" i="1"/>
  <c r="Z17" i="1"/>
  <c r="Z18" i="1"/>
  <c r="Z19" i="1"/>
  <c r="Z20" i="1"/>
  <c r="AA20" i="1" s="1"/>
  <c r="Z21" i="1"/>
  <c r="Z22" i="1"/>
  <c r="Z23" i="1"/>
  <c r="Z24" i="1"/>
  <c r="Z25" i="1"/>
  <c r="Z26" i="1"/>
  <c r="Z27" i="1"/>
  <c r="Z28" i="1"/>
  <c r="AA28" i="1" s="1"/>
  <c r="Z29" i="1"/>
  <c r="Z30" i="1"/>
  <c r="AA30" i="1" s="1"/>
  <c r="Z31" i="1"/>
  <c r="Z32" i="1"/>
  <c r="AA33" i="1" s="1"/>
  <c r="Z33" i="1"/>
  <c r="Z34" i="1"/>
  <c r="Z35" i="1"/>
  <c r="Z36" i="1"/>
  <c r="AA36" i="1" s="1"/>
  <c r="Z37" i="1"/>
  <c r="Z38" i="1"/>
  <c r="AA38" i="1" s="1"/>
  <c r="Z39" i="1"/>
  <c r="Z40" i="1"/>
  <c r="Z41" i="1"/>
  <c r="AA41" i="1" s="1"/>
  <c r="Z42" i="1"/>
  <c r="Z43" i="1"/>
  <c r="Z44" i="1"/>
  <c r="AA44" i="1" s="1"/>
  <c r="Z45" i="1"/>
  <c r="Z46" i="1"/>
  <c r="AA46" i="1" s="1"/>
  <c r="Z47" i="1"/>
  <c r="Z48" i="1"/>
  <c r="Z3" i="1"/>
  <c r="Z4" i="1"/>
  <c r="AA4" i="1" s="1"/>
  <c r="Z5" i="1"/>
  <c r="Z6" i="1"/>
  <c r="Z7" i="1"/>
  <c r="Z8" i="1"/>
  <c r="Z9" i="1"/>
  <c r="Z10" i="1"/>
  <c r="AA10" i="1" s="1"/>
  <c r="Z11" i="1"/>
  <c r="Z12" i="1"/>
  <c r="AA13" i="1" s="1"/>
  <c r="Z2" i="1"/>
  <c r="AA26" i="1"/>
  <c r="AA32" i="1"/>
  <c r="AA34" i="1"/>
  <c r="AA40" i="1"/>
  <c r="AA42" i="1"/>
  <c r="AA48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3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K104" i="1"/>
  <c r="K105" i="1"/>
  <c r="K106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G106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O46" i="1"/>
  <c r="O48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7" i="1"/>
  <c r="K3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3" i="1"/>
  <c r="AA7" i="1"/>
  <c r="AA8" i="1"/>
  <c r="AA11" i="1"/>
  <c r="AA14" i="1"/>
  <c r="AA15" i="1"/>
  <c r="AA16" i="1"/>
  <c r="AA17" i="1"/>
  <c r="AA18" i="1"/>
  <c r="AA19" i="1"/>
  <c r="AA22" i="1"/>
  <c r="AA23" i="1"/>
  <c r="AA24" i="1"/>
  <c r="AA25" i="1"/>
  <c r="AA3" i="1"/>
  <c r="AA9" i="1" l="1"/>
  <c r="AA47" i="1"/>
  <c r="AA39" i="1"/>
  <c r="AA31" i="1"/>
  <c r="C51" i="1"/>
  <c r="AA12" i="1"/>
  <c r="AA5" i="1"/>
  <c r="AA51" i="1" s="1"/>
  <c r="AA43" i="1"/>
  <c r="AA35" i="1"/>
  <c r="AA27" i="1"/>
  <c r="AA21" i="1"/>
  <c r="AA45" i="1"/>
  <c r="AA37" i="1"/>
  <c r="AA29" i="1"/>
  <c r="AA6" i="1"/>
  <c r="G51" i="1"/>
  <c r="W52" i="1"/>
  <c r="W49" i="1"/>
  <c r="O110" i="1"/>
  <c r="W50" i="1"/>
  <c r="W51" i="1"/>
  <c r="O109" i="1"/>
  <c r="G52" i="1"/>
  <c r="O107" i="1"/>
  <c r="O108" i="1"/>
  <c r="G50" i="1"/>
  <c r="C49" i="1"/>
  <c r="G49" i="1"/>
  <c r="G56" i="1" s="1"/>
  <c r="C52" i="1"/>
  <c r="C50" i="1"/>
  <c r="AA52" i="1" l="1"/>
  <c r="AA53" i="1" s="1"/>
  <c r="C53" i="1"/>
  <c r="C55" i="1" s="1"/>
  <c r="AA50" i="1"/>
  <c r="W53" i="1"/>
  <c r="W54" i="1" s="1"/>
  <c r="AA49" i="1"/>
  <c r="C56" i="1"/>
  <c r="W56" i="1"/>
  <c r="C54" i="1"/>
  <c r="S61" i="1"/>
  <c r="G73" i="1"/>
  <c r="C73" i="1"/>
  <c r="G72" i="1"/>
  <c r="C72" i="1"/>
  <c r="G71" i="1"/>
  <c r="C71" i="1"/>
  <c r="G70" i="1"/>
  <c r="C70" i="1"/>
  <c r="G69" i="1"/>
  <c r="C69" i="1"/>
  <c r="G68" i="1"/>
  <c r="C68" i="1"/>
  <c r="G67" i="1"/>
  <c r="C67" i="1"/>
  <c r="G66" i="1"/>
  <c r="C66" i="1"/>
  <c r="G65" i="1"/>
  <c r="C65" i="1"/>
  <c r="G64" i="1"/>
  <c r="C64" i="1"/>
  <c r="G63" i="1"/>
  <c r="C63" i="1"/>
  <c r="G62" i="1"/>
  <c r="C62" i="1"/>
  <c r="K61" i="1"/>
  <c r="K109" i="1" s="1"/>
  <c r="G61" i="1"/>
  <c r="C61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S3" i="1"/>
  <c r="S51" i="1" s="1"/>
  <c r="O3" i="1"/>
  <c r="O51" i="1" s="1"/>
  <c r="W55" i="1" l="1"/>
  <c r="AA56" i="1"/>
  <c r="AA55" i="1"/>
  <c r="AA54" i="1"/>
  <c r="K51" i="1"/>
  <c r="C109" i="1"/>
  <c r="C111" i="1" s="1"/>
  <c r="G109" i="1"/>
  <c r="S107" i="1"/>
  <c r="S109" i="1"/>
  <c r="C110" i="1"/>
  <c r="C108" i="1"/>
  <c r="C107" i="1"/>
  <c r="K110" i="1"/>
  <c r="K108" i="1"/>
  <c r="K107" i="1"/>
  <c r="G110" i="1"/>
  <c r="G108" i="1"/>
  <c r="G107" i="1"/>
  <c r="O52" i="1"/>
  <c r="O50" i="1"/>
  <c r="O49" i="1"/>
  <c r="S52" i="1"/>
  <c r="S50" i="1"/>
  <c r="S49" i="1"/>
  <c r="S54" i="1" s="1"/>
  <c r="S110" i="1"/>
  <c r="S108" i="1"/>
  <c r="K52" i="1"/>
  <c r="K49" i="1"/>
  <c r="K50" i="1"/>
  <c r="O114" i="1"/>
  <c r="K55" i="1" l="1"/>
  <c r="K114" i="1"/>
  <c r="G114" i="1"/>
  <c r="S55" i="1"/>
  <c r="C114" i="1"/>
  <c r="C113" i="1"/>
  <c r="G55" i="1"/>
  <c r="G54" i="1"/>
  <c r="K113" i="1"/>
  <c r="G112" i="1"/>
  <c r="S56" i="1"/>
  <c r="O56" i="1"/>
  <c r="O112" i="1"/>
  <c r="K56" i="1"/>
  <c r="K54" i="1"/>
  <c r="O113" i="1"/>
  <c r="K112" i="1" l="1"/>
  <c r="C112" i="1"/>
  <c r="G113" i="1"/>
  <c r="O55" i="1"/>
  <c r="O54" i="1"/>
</calcChain>
</file>

<file path=xl/sharedStrings.xml><?xml version="1.0" encoding="utf-8"?>
<sst xmlns="http://schemas.openxmlformats.org/spreadsheetml/2006/main" count="321" uniqueCount="121">
  <si>
    <t>Date</t>
  </si>
  <si>
    <t>Close</t>
  </si>
  <si>
    <t>R_MSFT</t>
  </si>
  <si>
    <t>Total</t>
  </si>
  <si>
    <t>Market</t>
  </si>
  <si>
    <t>Covariance</t>
  </si>
  <si>
    <t>Variance</t>
  </si>
  <si>
    <t>Beta</t>
  </si>
  <si>
    <t>R_F</t>
  </si>
  <si>
    <t>Jensen Alpha</t>
  </si>
  <si>
    <t>Treynor I</t>
  </si>
  <si>
    <t>Sharpe</t>
  </si>
  <si>
    <t>MSFT</t>
  </si>
  <si>
    <t>StDev</t>
  </si>
  <si>
    <t>Risk</t>
  </si>
  <si>
    <t>Performance</t>
  </si>
  <si>
    <t>Standard. D</t>
  </si>
  <si>
    <t>Mean</t>
  </si>
  <si>
    <t>Sharpe Ratio</t>
  </si>
  <si>
    <t>Weight</t>
  </si>
  <si>
    <t>S&amp;P 500</t>
  </si>
  <si>
    <t>Portfolio</t>
  </si>
  <si>
    <t xml:space="preserve">Beta </t>
  </si>
  <si>
    <t xml:space="preserve">Jensen Alpha </t>
  </si>
  <si>
    <t>c</t>
  </si>
  <si>
    <t>R_P</t>
  </si>
  <si>
    <t>Value</t>
  </si>
  <si>
    <t>NVDA</t>
  </si>
  <si>
    <t>R_NVDA</t>
  </si>
  <si>
    <t>PG</t>
  </si>
  <si>
    <t>R_PG</t>
  </si>
  <si>
    <t>KO</t>
  </si>
  <si>
    <t>R_KO</t>
  </si>
  <si>
    <t>MNST</t>
  </si>
  <si>
    <t>R_MNST</t>
  </si>
  <si>
    <t>HSY</t>
  </si>
  <si>
    <t>R_HSY</t>
  </si>
  <si>
    <t>LMT</t>
  </si>
  <si>
    <t>R_LMT</t>
  </si>
  <si>
    <t>TTE</t>
  </si>
  <si>
    <t>R_TTE</t>
  </si>
  <si>
    <t>NVO</t>
  </si>
  <si>
    <t>R_NVO</t>
  </si>
  <si>
    <t>NVS</t>
  </si>
  <si>
    <t>R_SPX / R_M</t>
  </si>
  <si>
    <t>Stock</t>
  </si>
  <si>
    <t>Quatity</t>
  </si>
  <si>
    <t>R_NVS</t>
  </si>
  <si>
    <t>Symbol</t>
  </si>
  <si>
    <t>Description</t>
  </si>
  <si>
    <t>Quantity</t>
  </si>
  <si>
    <t>Last Price</t>
  </si>
  <si>
    <t>PricePaid</t>
  </si>
  <si>
    <t>Total Price</t>
  </si>
  <si>
    <t>Day Change</t>
  </si>
  <si>
    <t>Profit/Loss</t>
  </si>
  <si>
    <t>Market Value</t>
  </si>
  <si>
    <t>Profit/Loss Percentage</t>
  </si>
  <si>
    <t xml:space="preserve">Beginning proportion </t>
    <phoneticPr fontId="2" type="noConversion"/>
  </si>
  <si>
    <t xml:space="preserve">Closing proportion </t>
  </si>
  <si>
    <t>Procter &amp; Gamble Company</t>
  </si>
  <si>
    <t>The Coca-Cola Company</t>
  </si>
  <si>
    <t>Monster Beverage Corporation</t>
  </si>
  <si>
    <t>The Hershey Company</t>
  </si>
  <si>
    <t>Novo Nordisk A/S</t>
  </si>
  <si>
    <t>Novartis AG</t>
  </si>
  <si>
    <t>Microsoft Corporation</t>
  </si>
  <si>
    <t>NVIDIA Corporation</t>
  </si>
  <si>
    <t>Lockheed Martin Corporation</t>
  </si>
  <si>
    <t>TotalEnergies SE</t>
  </si>
  <si>
    <t>Portfolio value</t>
    <phoneticPr fontId="2" type="noConversion"/>
  </si>
  <si>
    <t>Beginning value</t>
  </si>
  <si>
    <t>Adj Close</t>
  </si>
  <si>
    <t>R_SPY</t>
  </si>
  <si>
    <t>Data</t>
  </si>
  <si>
    <t>Sep 17, 2025</t>
  </si>
  <si>
    <t>Sep 18, 2025</t>
  </si>
  <si>
    <t>Sep 19, 2025</t>
  </si>
  <si>
    <t>Sep 22, 2025</t>
  </si>
  <si>
    <t>Sep 23, 2025</t>
  </si>
  <si>
    <t>Sep 24, 2025</t>
  </si>
  <si>
    <t>Sep 25, 2025</t>
  </si>
  <si>
    <t>Sep 26, 2025</t>
  </si>
  <si>
    <t>Sep 29, 2025</t>
  </si>
  <si>
    <t>Sep 30, 2025</t>
  </si>
  <si>
    <t>Oct 1, 2025</t>
  </si>
  <si>
    <t>Oct 2, 2025</t>
  </si>
  <si>
    <t>Oct 3, 2025</t>
  </si>
  <si>
    <t>Oct 6, 2025</t>
  </si>
  <si>
    <t>Oct 7, 2025</t>
  </si>
  <si>
    <t>Oct 8, 2025</t>
  </si>
  <si>
    <t>Oct 9, 2025</t>
  </si>
  <si>
    <t>Oct 10, 2025</t>
  </si>
  <si>
    <t>Oct 13, 2025</t>
  </si>
  <si>
    <t>Oct 14, 2025</t>
  </si>
  <si>
    <t>Oct 15, 2025</t>
  </si>
  <si>
    <t>Oct 16, 2025</t>
  </si>
  <si>
    <t>Oct 17, 2025</t>
  </si>
  <si>
    <t>Oct 20, 2025</t>
  </si>
  <si>
    <t>Oct 21, 2025</t>
  </si>
  <si>
    <t>Oct 22, 2025</t>
  </si>
  <si>
    <t>Oct 23, 2025</t>
  </si>
  <si>
    <t>Oct 24, 2025</t>
  </si>
  <si>
    <t>Oct 27, 2025</t>
  </si>
  <si>
    <t>Oct 28, 2025</t>
  </si>
  <si>
    <t>Oct 29, 2025</t>
  </si>
  <si>
    <t>Oct 30, 2025</t>
  </si>
  <si>
    <t>Oct 31, 2025</t>
  </si>
  <si>
    <t>Nov 3, 2025</t>
  </si>
  <si>
    <t>Nov 4, 2025</t>
  </si>
  <si>
    <t>Nov 5, 2025</t>
  </si>
  <si>
    <t>Nov 6, 2025</t>
  </si>
  <si>
    <t>Nov 7, 2025</t>
  </si>
  <si>
    <t>Nov 10, 2025</t>
  </si>
  <si>
    <t>Nov 11, 2025</t>
  </si>
  <si>
    <t>Nov 12, 2025</t>
  </si>
  <si>
    <t>Nov 13, 2025</t>
  </si>
  <si>
    <t>Nov 14, 2025</t>
  </si>
  <si>
    <t>Weights</t>
  </si>
  <si>
    <t>R_P Total</t>
  </si>
  <si>
    <t>Beta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</si>
</sst>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yyyy\-mm\-dd"/>
    <numFmt numFmtId="165" formatCode="&quot;$&quot;#,##0.00"/>
    <numFmt numFmtId="166" formatCode="0.0000000"/>
    <numFmt numFmtId="167" formatCode="0.000"/>
    <numFmt numFmtId="168" formatCode="0.0000"/>
    <numFmt numFmtId="169" formatCode="0.00000000"/>
    <numFmt numFmtId="170" formatCode="&quot;$&quot;#,##0.000"/>
    <numFmt numFmtId="171" formatCode="0.000%"/>
    <numFmt numFmtId="172" formatCode="0.00000"/>
    <numFmt numFmtId="173" formatCode="0.000000"/>
    <numFmt numFmtId="174" formatCode="0.000000%"/>
    <numFmt numFmtId="175" formatCode="0.0000%"/>
  </numFmts>
  <fonts count="2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i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2"/>
      <color theme="0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30712"/>
      <name val="Arial"/>
      <family val="2"/>
    </font>
    <font>
      <sz val="12"/>
      <color rgb="FF030712"/>
      <name val="Arial"/>
      <family val="2"/>
    </font>
    <font>
      <sz val="10"/>
      <color theme="1"/>
      <name val="Helvetica"/>
      <family val="2"/>
    </font>
    <font>
      <sz val="10"/>
      <color theme="1"/>
      <name val="Helvetica Neue"/>
      <family val="2"/>
    </font>
    <font>
      <sz val="12"/>
      <color theme="1"/>
      <name val="Aptos Narrow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0A4A3"/>
        <bgColor rgb="FFA0A4A3"/>
      </patternFill>
    </fill>
    <fill>
      <patternFill patternType="solid">
        <fgColor rgb="FFB0B3B2"/>
        <bgColor rgb="FFB0B3B2"/>
      </patternFill>
    </fill>
    <fill>
      <patternFill patternType="solid">
        <fgColor rgb="FFCACACA"/>
        <bgColor rgb="FFCACACA"/>
      </patternFill>
    </fill>
    <fill>
      <patternFill patternType="solid">
        <fgColor rgb="FFD4D4D4"/>
        <bgColor rgb="FFD4D4D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10" fontId="1" fillId="0" borderId="0" xfId="0" applyNumberFormat="1" applyFont="1"/>
    <xf numFmtId="14" fontId="4" fillId="0" borderId="0" xfId="0" applyNumberFormat="1" applyFont="1"/>
    <xf numFmtId="0" fontId="5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164" fontId="5" fillId="4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10" fontId="6" fillId="0" borderId="1" xfId="0" applyNumberFormat="1" applyFont="1" applyBorder="1" applyAlignment="1">
      <alignment vertical="top"/>
    </xf>
    <xf numFmtId="0" fontId="7" fillId="0" borderId="0" xfId="0" applyFont="1"/>
    <xf numFmtId="164" fontId="5" fillId="5" borderId="1" xfId="0" applyNumberFormat="1" applyFont="1" applyFill="1" applyBorder="1" applyAlignment="1">
      <alignment vertical="top"/>
    </xf>
    <xf numFmtId="0" fontId="2" fillId="0" borderId="1" xfId="0" applyFont="1" applyBorder="1"/>
    <xf numFmtId="10" fontId="2" fillId="0" borderId="1" xfId="0" applyNumberFormat="1" applyFont="1" applyBorder="1"/>
    <xf numFmtId="10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0" fillId="0" borderId="0" xfId="1">
      <alignment vertical="center"/>
    </xf>
    <xf numFmtId="0" fontId="4" fillId="0" borderId="0" xfId="1" applyFont="1">
      <alignment vertical="center"/>
    </xf>
    <xf numFmtId="10" fontId="0" fillId="0" borderId="0" xfId="2" applyNumberFormat="1" applyFont="1">
      <alignment vertical="center"/>
    </xf>
    <xf numFmtId="0" fontId="3" fillId="0" borderId="0" xfId="1" applyFont="1">
      <alignment vertical="center"/>
    </xf>
    <xf numFmtId="0" fontId="10" fillId="0" borderId="0" xfId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0" borderId="0" xfId="0" applyFont="1"/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10" fontId="0" fillId="0" borderId="2" xfId="0" applyNumberFormat="1" applyBorder="1"/>
    <xf numFmtId="10" fontId="13" fillId="0" borderId="2" xfId="0" applyNumberFormat="1" applyFont="1" applyBorder="1"/>
    <xf numFmtId="2" fontId="6" fillId="0" borderId="1" xfId="0" applyNumberFormat="1" applyFont="1" applyBorder="1" applyAlignment="1">
      <alignment vertical="top"/>
    </xf>
    <xf numFmtId="2" fontId="0" fillId="0" borderId="0" xfId="0" applyNumberFormat="1"/>
    <xf numFmtId="168" fontId="0" fillId="0" borderId="2" xfId="0" applyNumberFormat="1" applyBorder="1"/>
    <xf numFmtId="169" fontId="8" fillId="0" borderId="5" xfId="0" applyNumberFormat="1" applyFont="1" applyBorder="1"/>
    <xf numFmtId="169" fontId="8" fillId="0" borderId="2" xfId="0" applyNumberFormat="1" applyFont="1" applyBorder="1"/>
    <xf numFmtId="168" fontId="8" fillId="0" borderId="2" xfId="0" applyNumberFormat="1" applyFont="1" applyBorder="1"/>
    <xf numFmtId="10" fontId="0" fillId="0" borderId="2" xfId="2" applyNumberFormat="1" applyFont="1" applyFill="1" applyBorder="1">
      <alignment vertical="center"/>
    </xf>
    <xf numFmtId="0" fontId="12" fillId="0" borderId="0" xfId="0" applyFont="1"/>
    <xf numFmtId="169" fontId="0" fillId="0" borderId="0" xfId="0" applyNumberFormat="1"/>
    <xf numFmtId="174" fontId="6" fillId="0" borderId="1" xfId="0" applyNumberFormat="1" applyFont="1" applyBorder="1" applyAlignment="1">
      <alignment vertical="top"/>
    </xf>
    <xf numFmtId="2" fontId="3" fillId="0" borderId="0" xfId="1" applyNumberFormat="1" applyFont="1">
      <alignment vertical="center"/>
    </xf>
    <xf numFmtId="0" fontId="6" fillId="0" borderId="6" xfId="0" applyFont="1" applyBorder="1" applyAlignment="1">
      <alignment vertical="top"/>
    </xf>
    <xf numFmtId="0" fontId="13" fillId="0" borderId="0" xfId="0" applyFont="1"/>
    <xf numFmtId="168" fontId="8" fillId="0" borderId="0" xfId="0" applyNumberFormat="1" applyFont="1"/>
    <xf numFmtId="164" fontId="5" fillId="5" borderId="1" xfId="0" applyNumberFormat="1" applyFont="1" applyFill="1" applyBorder="1" applyAlignment="1">
      <alignment horizontal="right" vertical="top"/>
    </xf>
    <xf numFmtId="4" fontId="6" fillId="0" borderId="1" xfId="0" applyNumberFormat="1" applyFont="1" applyBorder="1" applyAlignment="1">
      <alignment vertical="top"/>
    </xf>
    <xf numFmtId="175" fontId="6" fillId="0" borderId="1" xfId="0" applyNumberFormat="1" applyFont="1" applyBorder="1" applyAlignment="1">
      <alignment vertical="top"/>
    </xf>
    <xf numFmtId="175" fontId="0" fillId="0" borderId="0" xfId="0" applyNumberFormat="1"/>
    <xf numFmtId="175" fontId="1" fillId="0" borderId="0" xfId="0" applyNumberFormat="1" applyFont="1"/>
    <xf numFmtId="10" fontId="13" fillId="7" borderId="2" xfId="0" applyNumberFormat="1" applyFont="1" applyFill="1" applyBorder="1"/>
    <xf numFmtId="0" fontId="12" fillId="7" borderId="2" xfId="0" applyFont="1" applyFill="1" applyBorder="1"/>
    <xf numFmtId="169" fontId="0" fillId="7" borderId="2" xfId="0" applyNumberFormat="1" applyFill="1" applyBorder="1"/>
    <xf numFmtId="10" fontId="0" fillId="7" borderId="2" xfId="0" applyNumberFormat="1" applyFill="1" applyBorder="1"/>
    <xf numFmtId="168" fontId="0" fillId="7" borderId="2" xfId="0" applyNumberFormat="1" applyFill="1" applyBorder="1"/>
    <xf numFmtId="166" fontId="0" fillId="7" borderId="2" xfId="0" applyNumberFormat="1" applyFill="1" applyBorder="1"/>
    <xf numFmtId="168" fontId="15" fillId="0" borderId="0" xfId="0" applyNumberFormat="1" applyFont="1"/>
    <xf numFmtId="0" fontId="4" fillId="0" borderId="0" xfId="0" applyFont="1" applyAlignment="1">
      <alignment horizontal="center"/>
    </xf>
    <xf numFmtId="170" fontId="4" fillId="0" borderId="0" xfId="0" applyNumberFormat="1" applyFont="1" applyAlignment="1">
      <alignment horizontal="center"/>
    </xf>
    <xf numFmtId="0" fontId="4" fillId="0" borderId="0" xfId="0" applyFont="1"/>
    <xf numFmtId="1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right"/>
    </xf>
    <xf numFmtId="170" fontId="3" fillId="0" borderId="0" xfId="0" applyNumberFormat="1" applyFont="1"/>
    <xf numFmtId="170" fontId="0" fillId="0" borderId="0" xfId="0" applyNumberFormat="1"/>
    <xf numFmtId="0" fontId="9" fillId="0" borderId="0" xfId="0" applyFont="1"/>
    <xf numFmtId="171" fontId="0" fillId="0" borderId="0" xfId="0" applyNumberFormat="1"/>
    <xf numFmtId="164" fontId="9" fillId="0" borderId="0" xfId="0" applyNumberFormat="1" applyFont="1"/>
    <xf numFmtId="165" fontId="4" fillId="6" borderId="0" xfId="0" applyNumberFormat="1" applyFont="1" applyFill="1" applyAlignment="1">
      <alignment horizontal="right"/>
    </xf>
    <xf numFmtId="170" fontId="0" fillId="6" borderId="0" xfId="0" applyNumberFormat="1" applyFill="1"/>
    <xf numFmtId="171" fontId="0" fillId="6" borderId="0" xfId="0" applyNumberFormat="1" applyFill="1"/>
    <xf numFmtId="0" fontId="9" fillId="6" borderId="0" xfId="0" applyFont="1" applyFill="1"/>
    <xf numFmtId="0" fontId="0" fillId="6" borderId="0" xfId="0" applyFill="1"/>
    <xf numFmtId="0" fontId="14" fillId="6" borderId="0" xfId="0" applyFont="1" applyFill="1" applyAlignment="1">
      <alignment horizontal="right"/>
    </xf>
    <xf numFmtId="173" fontId="0" fillId="6" borderId="0" xfId="0" applyNumberFormat="1" applyFill="1"/>
    <xf numFmtId="0" fontId="9" fillId="6" borderId="0" xfId="0" applyFont="1" applyFill="1" applyAlignment="1">
      <alignment horizontal="right"/>
    </xf>
    <xf numFmtId="168" fontId="0" fillId="6" borderId="0" xfId="0" applyNumberFormat="1" applyFill="1"/>
    <xf numFmtId="172" fontId="0" fillId="6" borderId="0" xfId="0" applyNumberFormat="1" applyFill="1"/>
    <xf numFmtId="10" fontId="0" fillId="6" borderId="0" xfId="0" applyNumberFormat="1" applyFill="1"/>
    <xf numFmtId="171" fontId="9" fillId="6" borderId="0" xfId="0" applyNumberFormat="1" applyFont="1" applyFill="1"/>
    <xf numFmtId="168" fontId="9" fillId="6" borderId="0" xfId="0" applyNumberFormat="1" applyFont="1" applyFill="1"/>
    <xf numFmtId="0" fontId="0" fillId="0" borderId="0" xfId="0" applyAlignment="1">
      <alignment horizontal="right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10" fontId="19" fillId="0" borderId="0" xfId="0" applyNumberFormat="1" applyFont="1"/>
    <xf numFmtId="10" fontId="20" fillId="0" borderId="0" xfId="1" applyNumberFormat="1" applyFont="1">
      <alignment vertical="center"/>
    </xf>
    <xf numFmtId="9" fontId="20" fillId="0" borderId="0" xfId="3" applyFont="1" applyAlignment="1">
      <alignment vertical="center"/>
    </xf>
    <xf numFmtId="2" fontId="10" fillId="0" borderId="0" xfId="1" applyNumberFormat="1">
      <alignment vertical="center"/>
    </xf>
    <xf numFmtId="10" fontId="3" fillId="0" borderId="0" xfId="0" applyNumberFormat="1" applyFont="1"/>
    <xf numFmtId="10" fontId="21" fillId="0" borderId="0" xfId="0" applyNumberFormat="1" applyFont="1"/>
    <xf numFmtId="0" fontId="22" fillId="0" borderId="0" xfId="0" applyFont="1"/>
    <xf numFmtId="0" fontId="21" fillId="0" borderId="0" xfId="0" applyFont="1"/>
    <xf numFmtId="0" fontId="12" fillId="0" borderId="7" xfId="0" applyFont="1" applyBorder="1"/>
  </cellXfs>
  <cellStyles count="4">
    <cellStyle name="Normal" xfId="0" builtinId="0"/>
    <cellStyle name="Normal 2" xfId="1" xr:uid="{42BD198A-83E3-BF46-90BE-BF7618657B90}"/>
    <cellStyle name="Per cent" xfId="3" builtinId="5"/>
    <cellStyle name="Percent 2" xfId="2" xr:uid="{C248CDC7-01CE-DC40-B427-7B8267BDC9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ansithakkar21/Downloads/Portfolio%20management%20example%20(3).xlsx" TargetMode="External"/><Relationship Id="rId1" Type="http://schemas.openxmlformats.org/officeDocument/2006/relationships/externalLinkPath" Target="/Users/bansithakkar21/Downloads/Portfolio%20management%20example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v. stocks"/>
      <sheetName val="HPR and risk"/>
      <sheetName val="Prices "/>
      <sheetName val="RATIOS"/>
      <sheetName val="Correlation 4 years"/>
    </sheetNames>
    <sheetDataSet>
      <sheetData sheetId="0"/>
      <sheetData sheetId="1"/>
      <sheetData sheetId="2"/>
      <sheetData sheetId="3">
        <row r="3">
          <cell r="C3">
            <v>0</v>
          </cell>
          <cell r="H3">
            <v>0</v>
          </cell>
          <cell r="J3">
            <v>0</v>
          </cell>
          <cell r="L3">
            <v>0</v>
          </cell>
          <cell r="O3">
            <v>0</v>
          </cell>
          <cell r="Q3">
            <v>-1E-3</v>
          </cell>
        </row>
        <row r="4">
          <cell r="C4">
            <v>1.9638382880749002E-3</v>
          </cell>
          <cell r="H4">
            <v>-3.0783106544841248E-3</v>
          </cell>
          <cell r="J4">
            <v>-3.0783106544841248E-3</v>
          </cell>
          <cell r="L4">
            <v>1.0568143388569495E-3</v>
          </cell>
          <cell r="O4">
            <v>7.0266528210453483E-2</v>
          </cell>
          <cell r="Q4">
            <v>4.7999999999999996E-3</v>
          </cell>
        </row>
        <row r="5">
          <cell r="C5">
            <v>3.3792917004584307E-4</v>
          </cell>
          <cell r="H5">
            <v>1.8644901170223153E-2</v>
          </cell>
          <cell r="J5">
            <v>1.8644901170223153E-2</v>
          </cell>
          <cell r="L5">
            <v>-1.4357501794687868E-3</v>
          </cell>
          <cell r="O5">
            <v>7.4385510996118004E-3</v>
          </cell>
          <cell r="Q5">
            <v>4.8999999999999998E-3</v>
          </cell>
        </row>
        <row r="6">
          <cell r="C6">
            <v>3.5808391324910556E-3</v>
          </cell>
          <cell r="H6">
            <v>-6.719054698511198E-3</v>
          </cell>
          <cell r="J6">
            <v>-6.719054698511198E-3</v>
          </cell>
          <cell r="L6">
            <v>1.5752526747578949E-2</v>
          </cell>
          <cell r="O6">
            <v>-3.6918138041733502E-2</v>
          </cell>
          <cell r="Q6">
            <v>4.4000000000000003E-3</v>
          </cell>
        </row>
        <row r="7">
          <cell r="C7">
            <v>-2.046586777972258E-2</v>
          </cell>
          <cell r="H7">
            <v>-1.0146758674312424E-2</v>
          </cell>
          <cell r="J7">
            <v>-1.0146758674312424E-2</v>
          </cell>
          <cell r="L7">
            <v>1.3072711755032431E-2</v>
          </cell>
          <cell r="O7">
            <v>4.9999999999999524E-3</v>
          </cell>
          <cell r="Q7">
            <v>-5.4999999999999997E-3</v>
          </cell>
        </row>
        <row r="8">
          <cell r="C8">
            <v>1.0171821305841855E-2</v>
          </cell>
          <cell r="H8">
            <v>1.8066492547571019E-3</v>
          </cell>
          <cell r="J8">
            <v>1.8066492547571019E-3</v>
          </cell>
          <cell r="L8">
            <v>-8.6300778761792569E-4</v>
          </cell>
          <cell r="O8">
            <v>-2.4046434494195617E-2</v>
          </cell>
          <cell r="Q8">
            <v>-2.8E-3</v>
          </cell>
        </row>
        <row r="9">
          <cell r="C9">
            <v>-5.7830997414613852E-3</v>
          </cell>
          <cell r="H9">
            <v>-6.1158482799176803E-3</v>
          </cell>
          <cell r="J9">
            <v>-6.1158482799176803E-3</v>
          </cell>
          <cell r="L9">
            <v>-3.9280205655527504E-3</v>
          </cell>
          <cell r="O9">
            <v>-2.90569243840272E-2</v>
          </cell>
          <cell r="Q9">
            <v>-5.0000000000000001E-3</v>
          </cell>
        </row>
        <row r="10">
          <cell r="C10">
            <v>-2.3266954081982033E-3</v>
          </cell>
          <cell r="H10">
            <v>8.7371555923712735E-3</v>
          </cell>
          <cell r="J10">
            <v>8.7371555923712735E-3</v>
          </cell>
          <cell r="L10">
            <v>6.4004624850312235E-3</v>
          </cell>
          <cell r="O10">
            <v>-2.6951347567378353E-2</v>
          </cell>
          <cell r="Q10">
            <v>5.8999999999999999E-3</v>
          </cell>
        </row>
        <row r="11">
          <cell r="C11">
            <v>9.4656697990259664E-3</v>
          </cell>
          <cell r="H11">
            <v>6.1392875298166881E-3</v>
          </cell>
          <cell r="J11">
            <v>6.1392875298166881E-3</v>
          </cell>
          <cell r="L11">
            <v>9.3139668472017496E-3</v>
          </cell>
          <cell r="O11">
            <v>-2.6258992805755409E-2</v>
          </cell>
          <cell r="Q11">
            <v>2.5999999999999999E-3</v>
          </cell>
        </row>
        <row r="12">
          <cell r="C12">
            <v>5.775633620982692E-3</v>
          </cell>
          <cell r="H12">
            <v>6.5099106101827097E-3</v>
          </cell>
          <cell r="J12">
            <v>6.5099106101827097E-3</v>
          </cell>
          <cell r="L12">
            <v>1.46957193381844E-2</v>
          </cell>
          <cell r="O12">
            <v>-2.401182120428566E-3</v>
          </cell>
          <cell r="Q12">
            <v>4.1000000000000003E-3</v>
          </cell>
        </row>
        <row r="13">
          <cell r="C13">
            <v>1.5876232941494352E-2</v>
          </cell>
          <cell r="H13">
            <v>3.3980113910608953E-3</v>
          </cell>
          <cell r="J13">
            <v>3.3980113910608953E-3</v>
          </cell>
          <cell r="L13">
            <v>-4.2066465014719163E-4</v>
          </cell>
          <cell r="O13">
            <v>3.7030179596371046E-2</v>
          </cell>
          <cell r="Q13">
            <v>3.3999999999999998E-3</v>
          </cell>
        </row>
        <row r="14">
          <cell r="C14">
            <v>-5.2537075214470442E-3</v>
          </cell>
          <cell r="H14">
            <v>-7.6388755267361164E-3</v>
          </cell>
          <cell r="J14">
            <v>-7.6388755267361164E-3</v>
          </cell>
          <cell r="L14">
            <v>7.2144288577157044E-4</v>
          </cell>
          <cell r="O14">
            <v>5.1240849848241468E-2</v>
          </cell>
          <cell r="Q14">
            <v>5.9999999999999995E-4</v>
          </cell>
        </row>
        <row r="15">
          <cell r="C15">
            <v>-5.4151624548736607E-3</v>
          </cell>
          <cell r="H15">
            <v>3.1217280024818969E-3</v>
          </cell>
          <cell r="J15">
            <v>3.1217280024818969E-3</v>
          </cell>
          <cell r="L15">
            <v>1.0273149631528347E-2</v>
          </cell>
          <cell r="O15">
            <v>2.0380434782608261E-3</v>
          </cell>
          <cell r="Q15">
            <v>1E-4</v>
          </cell>
        </row>
        <row r="16">
          <cell r="C16">
            <v>1.7476641796060996E-2</v>
          </cell>
          <cell r="H16">
            <v>2.1687445636416405E-2</v>
          </cell>
          <cell r="J16">
            <v>2.1687445636416405E-2</v>
          </cell>
          <cell r="L16">
            <v>1.9326448492537018E-2</v>
          </cell>
          <cell r="O16">
            <v>1.9152542372881401E-2</v>
          </cell>
          <cell r="Q16">
            <v>3.5999999999999999E-3</v>
          </cell>
        </row>
        <row r="17">
          <cell r="C17">
            <v>2.4443416793288267E-3</v>
          </cell>
          <cell r="H17">
            <v>-8.6838072535331771E-3</v>
          </cell>
          <cell r="J17">
            <v>-8.6838072535331771E-3</v>
          </cell>
          <cell r="L17">
            <v>-6.1644368388301491E-3</v>
          </cell>
          <cell r="O17">
            <v>-1.1142524530184628E-2</v>
          </cell>
          <cell r="Q17">
            <v>-3.8E-3</v>
          </cell>
        </row>
        <row r="18">
          <cell r="C18">
            <v>4.9426650850138395E-3</v>
          </cell>
          <cell r="H18">
            <v>1.6603687163632287E-3</v>
          </cell>
          <cell r="J18">
            <v>1.6603687163632287E-3</v>
          </cell>
          <cell r="L18">
            <v>5.772203416361729E-3</v>
          </cell>
          <cell r="O18">
            <v>5.8863101244534376E-3</v>
          </cell>
          <cell r="Q18">
            <v>5.7999999999999996E-3</v>
          </cell>
        </row>
        <row r="19">
          <cell r="C19">
            <v>-1.8361859794084931E-3</v>
          </cell>
          <cell r="H19">
            <v>-4.6680003810613416E-3</v>
          </cell>
          <cell r="J19">
            <v>-4.6680003810613416E-3</v>
          </cell>
          <cell r="L19">
            <v>-1.2178514454690462E-2</v>
          </cell>
          <cell r="O19">
            <v>-1.4880454773449264E-2</v>
          </cell>
          <cell r="Q19">
            <v>-2.8E-3</v>
          </cell>
        </row>
        <row r="20">
          <cell r="C20">
            <v>-6.5698705735623986E-5</v>
          </cell>
          <cell r="H20">
            <v>-2.1898928024502294E-2</v>
          </cell>
          <cell r="J20">
            <v>-2.1898928024502294E-2</v>
          </cell>
          <cell r="L20">
            <v>-5.3371671655900021E-3</v>
          </cell>
          <cell r="O20">
            <v>-5.4310930074677579E-3</v>
          </cell>
          <cell r="Q20">
            <v>-2.7099999999999999E-2</v>
          </cell>
        </row>
        <row r="21">
          <cell r="C21">
            <v>-3.810775295663496E-3</v>
          </cell>
          <cell r="H21">
            <v>6.0474401127289324E-3</v>
          </cell>
          <cell r="J21">
            <v>6.0474401127289324E-3</v>
          </cell>
          <cell r="L21">
            <v>-2.4156024156024697E-3</v>
          </cell>
          <cell r="O21">
            <v>-2.2184300341297002E-2</v>
          </cell>
          <cell r="Q21">
            <v>1.5599999999999999E-2</v>
          </cell>
        </row>
        <row r="22">
          <cell r="C22">
            <v>2.2424482258277495E-3</v>
          </cell>
          <cell r="H22">
            <v>-9.3376130726564453E-4</v>
          </cell>
          <cell r="J22">
            <v>-9.3376130726564453E-4</v>
          </cell>
          <cell r="L22">
            <v>2.679475219816253E-3</v>
          </cell>
          <cell r="O22">
            <v>-1.780104712041878E-2</v>
          </cell>
          <cell r="Q22">
            <v>-1.6000000000000001E-3</v>
          </cell>
        </row>
        <row r="23">
          <cell r="C23">
            <v>-3.6851803106080694E-3</v>
          </cell>
          <cell r="H23">
            <v>-2.7260159277235825E-4</v>
          </cell>
          <cell r="J23">
            <v>-2.7260159277235825E-4</v>
          </cell>
          <cell r="L23">
            <v>-1.1421671483431612E-2</v>
          </cell>
          <cell r="O23">
            <v>2.1321961620468627E-3</v>
          </cell>
          <cell r="Q23">
            <v>4.0000000000000001E-3</v>
          </cell>
        </row>
        <row r="24">
          <cell r="C24">
            <v>-1.1889035667107075E-2</v>
          </cell>
          <cell r="H24">
            <v>-3.5447870206258623E-3</v>
          </cell>
          <cell r="J24">
            <v>-3.5447870206258623E-3</v>
          </cell>
          <cell r="L24">
            <v>-1.2334554774634118E-2</v>
          </cell>
          <cell r="O24">
            <v>1.2056737588652477E-2</v>
          </cell>
          <cell r="Q24">
            <v>-6.3E-3</v>
          </cell>
        </row>
        <row r="25">
          <cell r="C25">
            <v>-1.4572192513369031E-2</v>
          </cell>
          <cell r="H25">
            <v>3.8505893160806614E-3</v>
          </cell>
          <cell r="J25">
            <v>3.8505893160806614E-3</v>
          </cell>
          <cell r="L25">
            <v>3.852002027369442E-3</v>
          </cell>
          <cell r="O25">
            <v>-5.6061667834618009E-2</v>
          </cell>
          <cell r="Q25">
            <v>5.3E-3</v>
          </cell>
        </row>
        <row r="26">
          <cell r="C26">
            <v>1.1803011803011866E-2</v>
          </cell>
          <cell r="H26">
            <v>6.2502433895399402E-3</v>
          </cell>
          <cell r="J26">
            <v>6.2502433895399402E-3</v>
          </cell>
          <cell r="L26">
            <v>2.1710592749671818E-2</v>
          </cell>
          <cell r="O26">
            <v>2.839643652561236E-2</v>
          </cell>
          <cell r="Q26">
            <v>1.0699999999999999E-2</v>
          </cell>
        </row>
        <row r="27">
          <cell r="C27">
            <v>-1.1196031107535448E-2</v>
          </cell>
          <cell r="H27">
            <v>1.6834691073743776E-3</v>
          </cell>
          <cell r="J27">
            <v>1.6834691073743776E-3</v>
          </cell>
          <cell r="L27">
            <v>-3.2417473809053132E-2</v>
          </cell>
          <cell r="O27">
            <v>-1.9852012272152941E-3</v>
          </cell>
          <cell r="Q27">
            <v>0</v>
          </cell>
        </row>
        <row r="28">
          <cell r="C28">
            <v>1.4916265509525992E-2</v>
          </cell>
          <cell r="H28">
            <v>5.5634972762044496E-3</v>
          </cell>
          <cell r="J28">
            <v>5.5634972762044496E-3</v>
          </cell>
          <cell r="L28">
            <v>-4.8212461695608042E-3</v>
          </cell>
          <cell r="O28">
            <v>-3.2549728752260351E-2</v>
          </cell>
          <cell r="Q28">
            <v>-5.3E-3</v>
          </cell>
        </row>
        <row r="29">
          <cell r="C29">
            <v>5.9456209499633558E-3</v>
          </cell>
          <cell r="H29">
            <v>3.8421639067087664E-5</v>
          </cell>
          <cell r="J29">
            <v>3.8421639067087664E-5</v>
          </cell>
          <cell r="L29">
            <v>1.8680461468982737E-3</v>
          </cell>
          <cell r="O29">
            <v>-1.7383177570093451E-2</v>
          </cell>
          <cell r="Q29">
            <v>5.7999999999999996E-3</v>
          </cell>
        </row>
        <row r="30">
          <cell r="C30">
            <v>7.3050869969441639E-4</v>
          </cell>
          <cell r="H30">
            <v>5.8590748424774634E-3</v>
          </cell>
          <cell r="J30">
            <v>5.8590748424774634E-3</v>
          </cell>
          <cell r="L30">
            <v>-5.4092818358774438E-3</v>
          </cell>
          <cell r="O30">
            <v>1.5978695073235617E-2</v>
          </cell>
          <cell r="Q30">
            <v>7.9000000000000008E-3</v>
          </cell>
        </row>
        <row r="31">
          <cell r="C31">
            <v>1.2276859778352873E-2</v>
          </cell>
          <cell r="H31">
            <v>1.5106663356314753E-2</v>
          </cell>
          <cell r="J31">
            <v>1.5106663356314753E-2</v>
          </cell>
          <cell r="L31">
            <v>3.0901711954842296E-3</v>
          </cell>
          <cell r="O31">
            <v>-1.1795543905635565E-2</v>
          </cell>
          <cell r="Q31">
            <v>1.23E-2</v>
          </cell>
        </row>
        <row r="32">
          <cell r="C32">
            <v>-1.3963550544119546E-2</v>
          </cell>
          <cell r="H32">
            <v>1.9848735701384838E-2</v>
          </cell>
          <cell r="J32">
            <v>1.9848735701384838E-2</v>
          </cell>
          <cell r="L32">
            <v>-2.3412951058718102E-3</v>
          </cell>
          <cell r="O32">
            <v>5.6839712012127957E-4</v>
          </cell>
          <cell r="Q32">
            <v>2.3E-3</v>
          </cell>
        </row>
        <row r="33">
          <cell r="C33">
            <v>1.2366199055913926E-2</v>
          </cell>
          <cell r="H33">
            <v>-9.5928570110888898E-4</v>
          </cell>
          <cell r="J33">
            <v>-9.5928570110888898E-4</v>
          </cell>
          <cell r="L33">
            <v>-9.0577845482429497E-4</v>
          </cell>
          <cell r="O33">
            <v>-2.6510130657072632E-3</v>
          </cell>
          <cell r="Q33">
            <v>0</v>
          </cell>
        </row>
        <row r="34">
          <cell r="C34">
            <v>-1.4448019964536604E-3</v>
          </cell>
          <cell r="H34">
            <v>-2.915704921059914E-2</v>
          </cell>
          <cell r="J34">
            <v>-2.915704921059914E-2</v>
          </cell>
          <cell r="L34">
            <v>9.0453917952734077E-3</v>
          </cell>
          <cell r="O34">
            <v>-5.1642301120182241E-2</v>
          </cell>
          <cell r="Q34">
            <v>-9.9000000000000008E-3</v>
          </cell>
        </row>
        <row r="35">
          <cell r="C35">
            <v>7.4317658664912554E-3</v>
          </cell>
          <cell r="H35">
            <v>-1.5120967741935571E-2</v>
          </cell>
          <cell r="J35">
            <v>-1.5120967741935571E-2</v>
          </cell>
          <cell r="L35">
            <v>4.4106836559666095E-3</v>
          </cell>
          <cell r="O35">
            <v>-2.3423423423423455E-2</v>
          </cell>
          <cell r="Q35">
            <v>2.5999999999999999E-3</v>
          </cell>
        </row>
        <row r="36">
          <cell r="C36">
            <v>3.0682856769813217E-3</v>
          </cell>
          <cell r="H36">
            <v>-1.5063440258009169E-3</v>
          </cell>
          <cell r="J36">
            <v>-1.5063440258009169E-3</v>
          </cell>
          <cell r="L36">
            <v>-8.0100837602667275E-3</v>
          </cell>
          <cell r="O36">
            <v>1.291512915129142E-2</v>
          </cell>
          <cell r="Q36">
            <v>1.6999999999999999E-3</v>
          </cell>
        </row>
        <row r="37">
          <cell r="C37">
            <v>-7.8099576960627751E-4</v>
          </cell>
          <cell r="H37">
            <v>-5.2221341121403628E-3</v>
          </cell>
          <cell r="J37">
            <v>-5.2221341121403628E-3</v>
          </cell>
          <cell r="L37">
            <v>-6.0663196294625972E-3</v>
          </cell>
          <cell r="O37">
            <v>-2.9346286176887185E-2</v>
          </cell>
          <cell r="Q37">
            <v>-1.17E-2</v>
          </cell>
        </row>
        <row r="38">
          <cell r="C38">
            <v>-6.7087865563733549E-3</v>
          </cell>
          <cell r="H38">
            <v>-1.3940466237629567E-2</v>
          </cell>
          <cell r="J38">
            <v>-1.3940466237629567E-2</v>
          </cell>
          <cell r="L38">
            <v>-2.4413377871252487E-2</v>
          </cell>
          <cell r="O38">
            <v>-2.0433694745621435E-2</v>
          </cell>
          <cell r="Q38">
            <v>3.7000000000000002E-3</v>
          </cell>
        </row>
        <row r="39">
          <cell r="C39">
            <v>-2.2950819672130775E-3</v>
          </cell>
          <cell r="H39">
            <v>-1.9835949207350739E-2</v>
          </cell>
          <cell r="J39">
            <v>-1.9835949207350739E-2</v>
          </cell>
          <cell r="L39">
            <v>-8.9191359851206204E-3</v>
          </cell>
          <cell r="O39">
            <v>1.6389953171562433E-2</v>
          </cell>
          <cell r="Q39">
            <v>-1.12E-2</v>
          </cell>
        </row>
        <row r="40">
          <cell r="C40">
            <v>1.7745645744330057E-3</v>
          </cell>
          <cell r="H40">
            <v>-5.6326694830020028E-4</v>
          </cell>
          <cell r="J40">
            <v>-5.6326694830020028E-4</v>
          </cell>
          <cell r="L40">
            <v>-2.2541158406551208E-2</v>
          </cell>
          <cell r="O40">
            <v>-3.5811518324607348E-2</v>
          </cell>
          <cell r="Q40">
            <v>1.2999999999999999E-3</v>
          </cell>
        </row>
        <row r="41">
          <cell r="C41">
            <v>5.2486550321488329E-4</v>
          </cell>
          <cell r="H41">
            <v>1.8477517008171986E-2</v>
          </cell>
          <cell r="J41">
            <v>1.8477517008171986E-2</v>
          </cell>
          <cell r="L41">
            <v>-1.3635867786625941E-2</v>
          </cell>
          <cell r="O41">
            <v>3.9096437880104199E-3</v>
          </cell>
          <cell r="Q41">
            <v>1.54E-2</v>
          </cell>
        </row>
        <row r="42">
          <cell r="C42">
            <v>3.737704918032742E-3</v>
          </cell>
          <cell r="H42">
            <v>5.2964426877470487E-3</v>
          </cell>
          <cell r="J42">
            <v>5.2964426877470487E-3</v>
          </cell>
          <cell r="L42">
            <v>1.0993143109931365E-2</v>
          </cell>
          <cell r="O42">
            <v>1.8390307226308987E-2</v>
          </cell>
          <cell r="Q42">
            <v>2.0999999999999999E-3</v>
          </cell>
        </row>
        <row r="43">
          <cell r="C43">
            <v>1.9402887567779442E-2</v>
          </cell>
          <cell r="H43">
            <v>4.8360462373200821E-3</v>
          </cell>
          <cell r="J43">
            <v>4.8360462373200821E-3</v>
          </cell>
          <cell r="L43">
            <v>-6.5635460651481645E-5</v>
          </cell>
          <cell r="O43">
            <v>5.1200339919269103E-2</v>
          </cell>
          <cell r="Q43">
            <v>5.9999999999999995E-4</v>
          </cell>
        </row>
        <row r="44">
          <cell r="C44">
            <v>8.2030248654191302E-3</v>
          </cell>
          <cell r="H44">
            <v>-1.535782760104857E-2</v>
          </cell>
          <cell r="J44">
            <v>-1.535782760104857E-2</v>
          </cell>
          <cell r="L44">
            <v>-2.6037108349378558E-3</v>
          </cell>
          <cell r="O44">
            <v>-5.6588520614388451E-3</v>
          </cell>
          <cell r="Q44">
            <v>-1.66E-2</v>
          </cell>
        </row>
        <row r="45">
          <cell r="C45">
            <v>1.9132977370963766E-2</v>
          </cell>
          <cell r="H45">
            <v>1.3689920324266299E-2</v>
          </cell>
          <cell r="J45">
            <v>1.3689920324266299E-2</v>
          </cell>
          <cell r="L45">
            <v>2.1761544367664712E-2</v>
          </cell>
          <cell r="O45">
            <v>-1.4227642276422821E-2</v>
          </cell>
          <cell r="Q45">
            <v>-5.0000000000000001E-4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06C2-0373-3449-8011-DCD08D49E961}">
  <dimension ref="A1:AX225"/>
  <sheetViews>
    <sheetView tabSelected="1" topLeftCell="A151" zoomScale="135" zoomScaleNormal="100" workbookViewId="0">
      <selection activeCell="M159" sqref="M159"/>
    </sheetView>
  </sheetViews>
  <sheetFormatPr baseColWidth="10" defaultColWidth="10.6640625" defaultRowHeight="16"/>
  <cols>
    <col min="2" max="2" width="12.1640625" customWidth="1"/>
    <col min="3" max="3" width="12.1640625" bestFit="1" customWidth="1"/>
    <col min="7" max="7" width="12.1640625" bestFit="1" customWidth="1"/>
    <col min="11" max="11" width="12.1640625" bestFit="1" customWidth="1"/>
    <col min="15" max="15" width="12.1640625" bestFit="1" customWidth="1"/>
    <col min="26" max="26" width="10.83203125" style="15"/>
    <col min="27" max="27" width="10.83203125" style="13"/>
  </cols>
  <sheetData>
    <row r="1" spans="1:50">
      <c r="A1" s="4" t="s">
        <v>0</v>
      </c>
      <c r="B1" s="4" t="s">
        <v>1</v>
      </c>
      <c r="C1" s="4" t="s">
        <v>2</v>
      </c>
      <c r="E1" s="5" t="s">
        <v>0</v>
      </c>
      <c r="F1" s="5" t="s">
        <v>1</v>
      </c>
      <c r="G1" s="5" t="s">
        <v>28</v>
      </c>
      <c r="I1" s="5" t="s">
        <v>0</v>
      </c>
      <c r="J1" s="5" t="s">
        <v>1</v>
      </c>
      <c r="K1" s="5" t="s">
        <v>30</v>
      </c>
      <c r="M1" s="5" t="s">
        <v>0</v>
      </c>
      <c r="N1" s="5" t="s">
        <v>1</v>
      </c>
      <c r="O1" s="5" t="s">
        <v>32</v>
      </c>
      <c r="Q1" s="5" t="s">
        <v>0</v>
      </c>
      <c r="R1" s="5" t="s">
        <v>1</v>
      </c>
      <c r="S1" s="5" t="s">
        <v>34</v>
      </c>
      <c r="U1" s="5" t="s">
        <v>0</v>
      </c>
      <c r="V1" s="5" t="s">
        <v>1</v>
      </c>
      <c r="W1" s="5" t="s">
        <v>44</v>
      </c>
      <c r="Y1" s="5" t="s">
        <v>0</v>
      </c>
      <c r="Z1" s="5" t="s">
        <v>26</v>
      </c>
      <c r="AA1" s="5" t="s">
        <v>25</v>
      </c>
      <c r="AC1" s="5" t="s">
        <v>45</v>
      </c>
      <c r="AD1" s="5" t="s">
        <v>46</v>
      </c>
      <c r="AF1" s="5" t="s">
        <v>0</v>
      </c>
      <c r="AG1" s="5" t="s">
        <v>8</v>
      </c>
    </row>
    <row r="2" spans="1:50">
      <c r="A2" s="6">
        <v>45917</v>
      </c>
      <c r="B2" s="7">
        <v>510.02</v>
      </c>
      <c r="C2" s="7"/>
      <c r="E2" s="6">
        <v>45917</v>
      </c>
      <c r="F2" s="7">
        <v>170.29</v>
      </c>
      <c r="G2" s="7"/>
      <c r="I2" s="6">
        <v>45917</v>
      </c>
      <c r="J2" s="7">
        <v>160.33000000000001</v>
      </c>
      <c r="K2" s="7"/>
      <c r="M2" s="6">
        <v>45917</v>
      </c>
      <c r="N2" s="7">
        <v>67.040000000000006</v>
      </c>
      <c r="O2" s="7"/>
      <c r="Q2" s="6">
        <v>45917</v>
      </c>
      <c r="R2" s="7">
        <v>66.52</v>
      </c>
      <c r="S2" s="7"/>
      <c r="U2" s="6">
        <v>45917</v>
      </c>
      <c r="V2" s="46">
        <v>6600.35</v>
      </c>
      <c r="W2" s="7"/>
      <c r="Y2" s="6">
        <v>45917</v>
      </c>
      <c r="Z2" s="31">
        <f>(($AD$2*J2)+($AD$3*N2)+($AD$4*R2)+($AD$5*R60)+($AD$6*J60)+($AD$7*N60)+($AD$8*B2)+($AD$9*F2)+($AD$10*B60)+($AD$11*F60))</f>
        <v>98023.45</v>
      </c>
      <c r="AA2" s="7"/>
      <c r="AC2" s="6" t="s">
        <v>29</v>
      </c>
      <c r="AD2" s="7">
        <v>68</v>
      </c>
      <c r="AF2" s="6">
        <v>45917</v>
      </c>
      <c r="AG2" s="47">
        <v>1.54E-4</v>
      </c>
      <c r="AX2" s="17">
        <v>0.02</v>
      </c>
    </row>
    <row r="3" spans="1:50">
      <c r="A3" s="6">
        <v>45918</v>
      </c>
      <c r="B3" s="7">
        <v>508.45</v>
      </c>
      <c r="C3" s="8">
        <f>LN(B3/B2)</f>
        <v>-3.0830583985846176E-3</v>
      </c>
      <c r="E3" s="6">
        <v>45918</v>
      </c>
      <c r="F3" s="7">
        <v>176.24</v>
      </c>
      <c r="G3" s="8">
        <f>LN(F3/F2)</f>
        <v>3.4343836455574553E-2</v>
      </c>
      <c r="I3" s="6">
        <v>45918</v>
      </c>
      <c r="J3" s="7">
        <v>157.32</v>
      </c>
      <c r="K3" s="8">
        <f>LN(J3/J2)</f>
        <v>-1.8952243637137298E-2</v>
      </c>
      <c r="M3" s="6">
        <v>45918</v>
      </c>
      <c r="N3" s="7">
        <v>66.459999999999994</v>
      </c>
      <c r="O3" s="8">
        <f t="shared" ref="O3:O48" si="0">LN(N3/N2)</f>
        <v>-8.6891932473796025E-3</v>
      </c>
      <c r="Q3" s="6">
        <v>45918</v>
      </c>
      <c r="R3" s="7">
        <v>64.64</v>
      </c>
      <c r="S3" s="8">
        <f t="shared" ref="S3:S48" si="1">LN(R3/R2)</f>
        <v>-2.8669240111886939E-2</v>
      </c>
      <c r="U3" s="6">
        <v>45918</v>
      </c>
      <c r="V3" s="46">
        <v>6631.96</v>
      </c>
      <c r="W3" s="8">
        <f>LN(V3/V2)</f>
        <v>4.7777085223636995E-3</v>
      </c>
      <c r="Y3" s="6">
        <v>45918</v>
      </c>
      <c r="Z3" s="31">
        <f>(($AD$2*J3)+($AD$3*N3)+($AD$4*R3)+($AD$5*R61)+($AD$6*J61)+($AD$7*N61)+($AD$8*B3)+($AD$9*F3)+($AD$10*B61)+($AD$11*F61))</f>
        <v>98239.489999999991</v>
      </c>
      <c r="AA3" s="8">
        <f>LN(Z3/Z2)</f>
        <v>2.2015372566815796E-3</v>
      </c>
      <c r="AC3" s="6" t="s">
        <v>31</v>
      </c>
      <c r="AD3" s="7">
        <v>164</v>
      </c>
      <c r="AF3" s="6">
        <v>45918</v>
      </c>
      <c r="AG3" s="47">
        <v>1.54E-4</v>
      </c>
      <c r="AX3" s="17">
        <v>0.02</v>
      </c>
    </row>
    <row r="4" spans="1:50">
      <c r="A4" s="6">
        <v>45919</v>
      </c>
      <c r="B4" s="7">
        <v>517.92999999999995</v>
      </c>
      <c r="C4" s="8">
        <f t="shared" ref="C4:C48" si="2">LN(B4/B3)</f>
        <v>1.8473215755626417E-2</v>
      </c>
      <c r="E4" s="6">
        <v>45919</v>
      </c>
      <c r="F4" s="7">
        <v>176.67</v>
      </c>
      <c r="G4" s="8">
        <f t="shared" ref="G4:G48" si="3">LN(F4/F3)</f>
        <v>2.4368831305012152E-3</v>
      </c>
      <c r="I4" s="6">
        <v>45919</v>
      </c>
      <c r="J4" s="7">
        <v>156.04</v>
      </c>
      <c r="K4" s="8">
        <f t="shared" ref="K4:K48" si="4">LN(J4/J3)</f>
        <v>-8.1695629251530722E-3</v>
      </c>
      <c r="M4" s="6">
        <v>45919</v>
      </c>
      <c r="N4" s="7">
        <v>66.430000000000007</v>
      </c>
      <c r="O4" s="8">
        <f t="shared" si="0"/>
        <v>-4.5150124929824794E-4</v>
      </c>
      <c r="Q4" s="6">
        <v>45919</v>
      </c>
      <c r="R4" s="7">
        <v>64.13</v>
      </c>
      <c r="S4" s="8">
        <f t="shared" si="1"/>
        <v>-7.9211410520685175E-3</v>
      </c>
      <c r="U4" s="6">
        <v>45919</v>
      </c>
      <c r="V4" s="46">
        <v>6664.36</v>
      </c>
      <c r="W4" s="8">
        <f t="shared" ref="W4:W48" si="5">LN(V4/V3)</f>
        <v>4.87353856235327E-3</v>
      </c>
      <c r="Y4" s="6">
        <v>45919</v>
      </c>
      <c r="Z4" s="31">
        <f t="shared" ref="Z4:Z48" si="6">(($AD$2*J4)+($AD$3*N4)+($AD$4*R4)+($AD$5*R62)+($AD$6*J62)+($AD$7*N62)+($AD$8*B4)+($AD$9*F4)+($AD$10*B62)+($AD$11*F62))</f>
        <v>98073.069999999992</v>
      </c>
      <c r="AA4" s="8">
        <f t="shared" ref="AA4:AA48" si="7">LN(Z4/Z3)</f>
        <v>-1.6954599325249009E-3</v>
      </c>
      <c r="AC4" s="6" t="s">
        <v>33</v>
      </c>
      <c r="AD4" s="7">
        <v>159</v>
      </c>
      <c r="AF4" s="6">
        <v>45919</v>
      </c>
      <c r="AG4" s="47">
        <v>1.54E-4</v>
      </c>
      <c r="AX4" s="17">
        <v>0.01</v>
      </c>
    </row>
    <row r="5" spans="1:50">
      <c r="A5" s="6">
        <v>45922</v>
      </c>
      <c r="B5" s="7">
        <v>514.45000000000005</v>
      </c>
      <c r="C5" s="8">
        <f t="shared" si="2"/>
        <v>-6.7417291709534486E-3</v>
      </c>
      <c r="E5" s="6">
        <v>45922</v>
      </c>
      <c r="F5" s="7">
        <v>183.61</v>
      </c>
      <c r="G5" s="8">
        <f t="shared" si="3"/>
        <v>3.8530357309506651E-2</v>
      </c>
      <c r="I5" s="6">
        <v>45922</v>
      </c>
      <c r="J5" s="7">
        <v>153.07</v>
      </c>
      <c r="K5" s="8">
        <f t="shared" si="4"/>
        <v>-1.9217051534839921E-2</v>
      </c>
      <c r="M5" s="6">
        <v>45922</v>
      </c>
      <c r="N5" s="7">
        <v>66.209999999999994</v>
      </c>
      <c r="O5" s="8">
        <f t="shared" si="0"/>
        <v>-3.317252740395293E-3</v>
      </c>
      <c r="Q5" s="6">
        <v>45922</v>
      </c>
      <c r="R5" s="7">
        <v>63.98</v>
      </c>
      <c r="S5" s="8">
        <f t="shared" si="1"/>
        <v>-2.3417386393995484E-3</v>
      </c>
      <c r="U5" s="6">
        <v>45922</v>
      </c>
      <c r="V5" s="46">
        <v>6693.75</v>
      </c>
      <c r="W5" s="8">
        <f t="shared" si="5"/>
        <v>4.4003301998515008E-3</v>
      </c>
      <c r="Y5" s="6">
        <v>45922</v>
      </c>
      <c r="Z5" s="31">
        <f t="shared" si="6"/>
        <v>98242.200000000012</v>
      </c>
      <c r="AA5" s="40">
        <f t="shared" si="7"/>
        <v>1.7230452001413576E-3</v>
      </c>
      <c r="AC5" s="6" t="s">
        <v>35</v>
      </c>
      <c r="AD5" s="7">
        <v>60</v>
      </c>
      <c r="AF5" s="6">
        <v>45922</v>
      </c>
      <c r="AG5" s="47">
        <v>1.5300000000000001E-4</v>
      </c>
      <c r="AX5" s="17">
        <v>0.02</v>
      </c>
    </row>
    <row r="6" spans="1:50">
      <c r="A6" s="6">
        <v>45923</v>
      </c>
      <c r="B6" s="7">
        <v>509.23</v>
      </c>
      <c r="C6" s="8">
        <f t="shared" si="2"/>
        <v>-1.0198587927461228E-2</v>
      </c>
      <c r="E6" s="6">
        <v>45923</v>
      </c>
      <c r="F6" s="7">
        <v>178.43</v>
      </c>
      <c r="G6" s="8">
        <f t="shared" si="3"/>
        <v>-2.8617575490758253E-2</v>
      </c>
      <c r="I6" s="6">
        <v>45923</v>
      </c>
      <c r="J6" s="7">
        <v>152.5</v>
      </c>
      <c r="K6" s="8">
        <f t="shared" si="4"/>
        <v>-3.7307370561494805E-3</v>
      </c>
      <c r="M6" s="6">
        <v>45923</v>
      </c>
      <c r="N6" s="7">
        <v>66.709999999999994</v>
      </c>
      <c r="O6" s="8">
        <f t="shared" si="0"/>
        <v>7.5233577846694176E-3</v>
      </c>
      <c r="Q6" s="6">
        <v>45923</v>
      </c>
      <c r="R6" s="7">
        <v>64.48</v>
      </c>
      <c r="S6" s="8">
        <f t="shared" si="1"/>
        <v>7.7845636770009774E-3</v>
      </c>
      <c r="U6" s="6">
        <v>45923</v>
      </c>
      <c r="V6" s="46">
        <v>6656.92</v>
      </c>
      <c r="W6" s="8">
        <f t="shared" si="5"/>
        <v>-5.517340092831724E-3</v>
      </c>
      <c r="Y6" s="6">
        <v>45923</v>
      </c>
      <c r="Z6" s="31">
        <f t="shared" si="6"/>
        <v>98012.39</v>
      </c>
      <c r="AA6" s="40">
        <f t="shared" si="7"/>
        <v>-2.3419590343131619E-3</v>
      </c>
      <c r="AC6" s="6" t="s">
        <v>41</v>
      </c>
      <c r="AD6" s="7">
        <v>197</v>
      </c>
      <c r="AF6" s="6">
        <v>45923</v>
      </c>
      <c r="AG6" s="47">
        <v>1.5300000000000001E-4</v>
      </c>
      <c r="AX6" s="17">
        <v>0.02</v>
      </c>
    </row>
    <row r="7" spans="1:50">
      <c r="A7" s="6">
        <v>45924</v>
      </c>
      <c r="B7" s="7">
        <v>510.15</v>
      </c>
      <c r="C7" s="8">
        <f t="shared" si="2"/>
        <v>1.8050192269559011E-3</v>
      </c>
      <c r="E7" s="6">
        <v>45924</v>
      </c>
      <c r="F7" s="7">
        <v>176.97</v>
      </c>
      <c r="G7" s="8">
        <f t="shared" si="3"/>
        <v>-8.2161407602438057E-3</v>
      </c>
      <c r="I7" s="6">
        <v>45924</v>
      </c>
      <c r="J7" s="7">
        <v>152.41999999999999</v>
      </c>
      <c r="K7" s="8">
        <f t="shared" si="4"/>
        <v>-5.2472780949496E-4</v>
      </c>
      <c r="M7" s="6">
        <v>45924</v>
      </c>
      <c r="N7" s="7">
        <v>66.45</v>
      </c>
      <c r="O7" s="8">
        <f t="shared" si="0"/>
        <v>-3.9050815621696142E-3</v>
      </c>
      <c r="Q7" s="6">
        <v>45924</v>
      </c>
      <c r="R7" s="7">
        <v>64.930000000000007</v>
      </c>
      <c r="S7" s="8">
        <f t="shared" si="1"/>
        <v>6.9546683220225222E-3</v>
      </c>
      <c r="U7" s="6">
        <v>45924</v>
      </c>
      <c r="V7" s="46">
        <v>6637.97</v>
      </c>
      <c r="W7" s="8">
        <f t="shared" si="5"/>
        <v>-2.8507212670841439E-3</v>
      </c>
      <c r="Y7" s="6">
        <v>45924</v>
      </c>
      <c r="Z7" s="31">
        <f t="shared" si="6"/>
        <v>97996.01</v>
      </c>
      <c r="AA7" s="40">
        <f>LN(Z7/Z6)</f>
        <v>-1.6713569457365817E-4</v>
      </c>
      <c r="AC7" s="6" t="s">
        <v>43</v>
      </c>
      <c r="AD7" s="7">
        <v>93</v>
      </c>
      <c r="AF7" s="6">
        <v>45924</v>
      </c>
      <c r="AG7" s="47">
        <v>1.5300000000000001E-4</v>
      </c>
      <c r="AX7" s="17">
        <v>0.02</v>
      </c>
    </row>
    <row r="8" spans="1:50">
      <c r="A8" s="6">
        <v>45925</v>
      </c>
      <c r="B8" s="7">
        <v>507.03</v>
      </c>
      <c r="C8" s="8">
        <f t="shared" si="2"/>
        <v>-6.134626683067846E-3</v>
      </c>
      <c r="E8" s="6">
        <v>45925</v>
      </c>
      <c r="F8" s="7">
        <v>177.69</v>
      </c>
      <c r="G8" s="8">
        <f t="shared" si="3"/>
        <v>4.0602322738898374E-3</v>
      </c>
      <c r="I8" s="6">
        <v>45925</v>
      </c>
      <c r="J8" s="7">
        <v>152.15</v>
      </c>
      <c r="K8" s="8">
        <f t="shared" si="4"/>
        <v>-1.7729918949911804E-3</v>
      </c>
      <c r="M8" s="6">
        <v>45925</v>
      </c>
      <c r="N8" s="7">
        <v>65.98</v>
      </c>
      <c r="O8" s="8">
        <f t="shared" si="0"/>
        <v>-7.0981193588189996E-3</v>
      </c>
      <c r="Q8" s="6">
        <v>45925</v>
      </c>
      <c r="R8" s="7">
        <v>64.59</v>
      </c>
      <c r="S8" s="8">
        <f t="shared" si="1"/>
        <v>-5.2501664760141193E-3</v>
      </c>
      <c r="U8" s="6">
        <v>45925</v>
      </c>
      <c r="V8" s="46">
        <v>6604.72</v>
      </c>
      <c r="W8" s="8">
        <f t="shared" si="5"/>
        <v>-5.0216489054652645E-3</v>
      </c>
      <c r="Y8" s="6">
        <v>45925</v>
      </c>
      <c r="Z8" s="31">
        <f t="shared" si="6"/>
        <v>96850.219999999987</v>
      </c>
      <c r="AA8" s="8">
        <f t="shared" si="7"/>
        <v>-1.1761102151634333E-2</v>
      </c>
      <c r="AC8" s="6" t="s">
        <v>12</v>
      </c>
      <c r="AD8" s="7">
        <v>11</v>
      </c>
      <c r="AF8" s="6">
        <v>45925</v>
      </c>
      <c r="AG8" s="47">
        <v>1.54E-4</v>
      </c>
      <c r="AX8" s="17">
        <v>0.02</v>
      </c>
    </row>
    <row r="9" spans="1:50">
      <c r="A9" s="6">
        <v>45926</v>
      </c>
      <c r="B9" s="7">
        <v>511.46</v>
      </c>
      <c r="C9" s="8">
        <f t="shared" si="2"/>
        <v>8.6992075270243534E-3</v>
      </c>
      <c r="E9" s="6">
        <v>45926</v>
      </c>
      <c r="F9" s="7">
        <v>178.19</v>
      </c>
      <c r="G9" s="8">
        <f t="shared" si="3"/>
        <v>2.8099377823398229E-3</v>
      </c>
      <c r="I9" s="6">
        <v>45926</v>
      </c>
      <c r="J9" s="7">
        <v>152.5</v>
      </c>
      <c r="K9" s="8">
        <f t="shared" si="4"/>
        <v>2.2977197044862251E-3</v>
      </c>
      <c r="M9" s="6">
        <v>45926</v>
      </c>
      <c r="N9" s="7">
        <v>65.67</v>
      </c>
      <c r="O9" s="8">
        <f t="shared" si="0"/>
        <v>-4.7094655975541194E-3</v>
      </c>
      <c r="Q9" s="6">
        <v>45926</v>
      </c>
      <c r="R9" s="7">
        <v>65.34</v>
      </c>
      <c r="S9" s="8">
        <f t="shared" si="1"/>
        <v>1.1544806128542856E-2</v>
      </c>
      <c r="U9" s="6">
        <v>45926</v>
      </c>
      <c r="V9" s="46">
        <v>6643.7</v>
      </c>
      <c r="W9" s="8">
        <f t="shared" si="5"/>
        <v>5.8844922610819797E-3</v>
      </c>
      <c r="Y9" s="6">
        <v>45926</v>
      </c>
      <c r="Z9" s="31">
        <f t="shared" si="6"/>
        <v>97408.26999999999</v>
      </c>
      <c r="AA9" s="8">
        <f t="shared" si="7"/>
        <v>5.7454532372051368E-3</v>
      </c>
      <c r="AC9" s="6" t="s">
        <v>27</v>
      </c>
      <c r="AD9" s="7">
        <v>35</v>
      </c>
      <c r="AF9" s="6">
        <v>45926</v>
      </c>
      <c r="AG9" s="47">
        <v>1.5300000000000001E-4</v>
      </c>
      <c r="AX9" s="17">
        <v>0.02</v>
      </c>
    </row>
    <row r="10" spans="1:50">
      <c r="A10" s="6">
        <v>45929</v>
      </c>
      <c r="B10" s="7">
        <v>514.6</v>
      </c>
      <c r="C10" s="8">
        <f t="shared" si="2"/>
        <v>6.1205188823731478E-3</v>
      </c>
      <c r="E10" s="6">
        <v>45929</v>
      </c>
      <c r="F10" s="7">
        <v>181.85</v>
      </c>
      <c r="G10" s="8">
        <f t="shared" si="3"/>
        <v>2.0331774693674635E-2</v>
      </c>
      <c r="I10" s="6">
        <v>45929</v>
      </c>
      <c r="J10" s="7">
        <v>153.53</v>
      </c>
      <c r="K10" s="8">
        <f t="shared" si="4"/>
        <v>6.7313916233413904E-3</v>
      </c>
      <c r="M10" s="6">
        <v>45929</v>
      </c>
      <c r="N10" s="7">
        <v>66.040000000000006</v>
      </c>
      <c r="O10" s="8">
        <f t="shared" si="0"/>
        <v>5.618418849046165E-3</v>
      </c>
      <c r="Q10" s="6">
        <v>45929</v>
      </c>
      <c r="R10" s="7">
        <v>66.959999999999994</v>
      </c>
      <c r="S10" s="8">
        <f t="shared" si="1"/>
        <v>2.4491020008295696E-2</v>
      </c>
      <c r="U10" s="6">
        <v>45929</v>
      </c>
      <c r="V10" s="46">
        <v>6661.21</v>
      </c>
      <c r="W10" s="8">
        <f t="shared" si="5"/>
        <v>2.6321125222386276E-3</v>
      </c>
      <c r="Y10" s="6">
        <v>45929</v>
      </c>
      <c r="Z10" s="31">
        <f t="shared" si="6"/>
        <v>97606.700000000012</v>
      </c>
      <c r="AA10" s="8">
        <f t="shared" si="7"/>
        <v>2.0350239623166282E-3</v>
      </c>
      <c r="AC10" s="6" t="s">
        <v>37</v>
      </c>
      <c r="AD10" s="7">
        <v>21</v>
      </c>
      <c r="AF10" s="6">
        <v>45929</v>
      </c>
      <c r="AG10" s="47">
        <v>1.5300000000000001E-4</v>
      </c>
      <c r="AX10" s="17">
        <v>0.02</v>
      </c>
    </row>
    <row r="11" spans="1:50">
      <c r="A11" s="6">
        <v>45930</v>
      </c>
      <c r="B11" s="7">
        <v>517.95000000000005</v>
      </c>
      <c r="C11" s="8">
        <f t="shared" si="2"/>
        <v>6.4888126564672617E-3</v>
      </c>
      <c r="E11" s="6">
        <v>45930</v>
      </c>
      <c r="F11" s="7">
        <v>186.58</v>
      </c>
      <c r="G11" s="8">
        <f t="shared" si="3"/>
        <v>2.5677930099817125E-2</v>
      </c>
      <c r="I11" s="6">
        <v>45930</v>
      </c>
      <c r="J11" s="7">
        <v>153.56</v>
      </c>
      <c r="K11" s="8">
        <f t="shared" si="4"/>
        <v>1.9538246178936778E-4</v>
      </c>
      <c r="M11" s="6">
        <v>45930</v>
      </c>
      <c r="N11" s="7">
        <v>66.319999999999993</v>
      </c>
      <c r="O11" s="8">
        <f t="shared" si="0"/>
        <v>4.2308917751119951E-3</v>
      </c>
      <c r="Q11" s="6">
        <v>45930</v>
      </c>
      <c r="R11" s="7">
        <v>67.31</v>
      </c>
      <c r="S11" s="8">
        <f t="shared" si="1"/>
        <v>5.2133878414020139E-3</v>
      </c>
      <c r="U11" s="6">
        <v>45930</v>
      </c>
      <c r="V11" s="46">
        <v>6688.46</v>
      </c>
      <c r="W11" s="8">
        <f t="shared" si="5"/>
        <v>4.08250358961618E-3</v>
      </c>
      <c r="Y11" s="6">
        <v>45930</v>
      </c>
      <c r="Z11" s="31">
        <f t="shared" si="6"/>
        <v>98456.530000000013</v>
      </c>
      <c r="AA11" s="8">
        <f t="shared" si="7"/>
        <v>8.6689923669510307E-3</v>
      </c>
      <c r="AC11" s="6" t="s">
        <v>39</v>
      </c>
      <c r="AD11" s="7">
        <v>163</v>
      </c>
      <c r="AF11" s="6">
        <v>45930</v>
      </c>
      <c r="AG11" s="47">
        <v>1.5300000000000001E-4</v>
      </c>
      <c r="AX11" s="17">
        <v>0.03</v>
      </c>
    </row>
    <row r="12" spans="1:50">
      <c r="A12" s="6">
        <v>45931</v>
      </c>
      <c r="B12" s="7">
        <v>519.71</v>
      </c>
      <c r="C12" s="8">
        <f t="shared" si="2"/>
        <v>3.3922511954726036E-3</v>
      </c>
      <c r="E12" s="6">
        <v>45931</v>
      </c>
      <c r="F12" s="7">
        <v>187.24</v>
      </c>
      <c r="G12" s="8">
        <f t="shared" si="3"/>
        <v>3.531114899054744E-3</v>
      </c>
      <c r="I12" s="6">
        <v>45931</v>
      </c>
      <c r="J12" s="7">
        <v>153.18</v>
      </c>
      <c r="K12" s="8">
        <f t="shared" si="4"/>
        <v>-2.477669651149433E-3</v>
      </c>
      <c r="M12" s="6">
        <v>45931</v>
      </c>
      <c r="N12" s="7">
        <v>66.78</v>
      </c>
      <c r="O12" s="8">
        <f t="shared" si="0"/>
        <v>6.9121236884689755E-3</v>
      </c>
      <c r="Q12" s="6">
        <v>45931</v>
      </c>
      <c r="R12" s="7">
        <v>67.430000000000007</v>
      </c>
      <c r="S12" s="8">
        <f t="shared" si="1"/>
        <v>1.7812087238688499E-3</v>
      </c>
      <c r="U12" s="6">
        <v>45931</v>
      </c>
      <c r="V12" s="46">
        <v>6711.2</v>
      </c>
      <c r="W12" s="8">
        <f t="shared" si="5"/>
        <v>3.3941192284702741E-3</v>
      </c>
      <c r="Y12" s="6">
        <v>45931</v>
      </c>
      <c r="Z12" s="31">
        <f t="shared" si="6"/>
        <v>99843.569999999992</v>
      </c>
      <c r="AA12" s="8">
        <f t="shared" si="7"/>
        <v>1.3989530222535029E-2</v>
      </c>
      <c r="AF12" s="6">
        <v>45931</v>
      </c>
      <c r="AG12" s="47">
        <v>1.5300000000000001E-4</v>
      </c>
      <c r="AX12" s="17">
        <v>0.03</v>
      </c>
    </row>
    <row r="13" spans="1:50">
      <c r="A13" s="6">
        <v>45932</v>
      </c>
      <c r="B13" s="7">
        <v>515.74</v>
      </c>
      <c r="C13" s="8">
        <f t="shared" si="2"/>
        <v>-7.668201175168525E-3</v>
      </c>
      <c r="E13" s="6">
        <v>45932</v>
      </c>
      <c r="F13" s="7">
        <v>188.89</v>
      </c>
      <c r="G13" s="8">
        <f t="shared" si="3"/>
        <v>8.7736186118584185E-3</v>
      </c>
      <c r="I13" s="6">
        <v>45932</v>
      </c>
      <c r="J13" s="7">
        <v>152.05000000000001</v>
      </c>
      <c r="K13" s="8">
        <f t="shared" si="4"/>
        <v>-7.4042863580738218E-3</v>
      </c>
      <c r="M13" s="6">
        <v>45932</v>
      </c>
      <c r="N13" s="7">
        <v>66.099999999999994</v>
      </c>
      <c r="O13" s="8">
        <f t="shared" si="0"/>
        <v>-1.0234887657867928E-2</v>
      </c>
      <c r="Q13" s="6">
        <v>45932</v>
      </c>
      <c r="R13" s="7">
        <v>67.58</v>
      </c>
      <c r="S13" s="8">
        <f t="shared" si="1"/>
        <v>2.2220585396532048E-3</v>
      </c>
      <c r="U13" s="6">
        <v>45932</v>
      </c>
      <c r="V13" s="46">
        <v>6715.35</v>
      </c>
      <c r="W13" s="8">
        <f t="shared" si="5"/>
        <v>6.1817818161168602E-4</v>
      </c>
      <c r="Y13" s="6">
        <v>45932</v>
      </c>
      <c r="Z13" s="31">
        <f t="shared" si="6"/>
        <v>99397.299999999988</v>
      </c>
      <c r="AA13" s="8">
        <f t="shared" si="7"/>
        <v>-4.4797108776414339E-3</v>
      </c>
      <c r="AF13" s="6">
        <v>45932</v>
      </c>
      <c r="AG13" s="47">
        <v>1.5300000000000001E-4</v>
      </c>
      <c r="AX13" s="17">
        <v>0.03</v>
      </c>
    </row>
    <row r="14" spans="1:50">
      <c r="A14" s="6">
        <v>45933</v>
      </c>
      <c r="B14" s="7">
        <v>517.35</v>
      </c>
      <c r="C14" s="8">
        <f t="shared" si="2"/>
        <v>3.1168655265446286E-3</v>
      </c>
      <c r="E14" s="6">
        <v>45933</v>
      </c>
      <c r="F14" s="7">
        <v>187.62</v>
      </c>
      <c r="G14" s="8">
        <f t="shared" si="3"/>
        <v>-6.746194345923261E-3</v>
      </c>
      <c r="I14" s="6">
        <v>45933</v>
      </c>
      <c r="J14" s="7">
        <v>152.27000000000001</v>
      </c>
      <c r="K14" s="8">
        <f t="shared" si="4"/>
        <v>1.4458467292673544E-3</v>
      </c>
      <c r="M14" s="6">
        <v>45933</v>
      </c>
      <c r="N14" s="7">
        <v>66.650000000000006</v>
      </c>
      <c r="O14" s="8">
        <f t="shared" si="0"/>
        <v>8.286299767077154E-3</v>
      </c>
      <c r="Q14" s="6">
        <v>45933</v>
      </c>
      <c r="R14" s="7">
        <v>67.17</v>
      </c>
      <c r="S14" s="8">
        <f t="shared" si="1"/>
        <v>-6.0853620073706826E-3</v>
      </c>
      <c r="U14" s="6">
        <v>45933</v>
      </c>
      <c r="V14" s="46">
        <v>6715.79</v>
      </c>
      <c r="W14" s="8">
        <f t="shared" si="5"/>
        <v>6.5519382592537398E-5</v>
      </c>
      <c r="Y14" s="6">
        <v>45933</v>
      </c>
      <c r="Z14" s="31">
        <f t="shared" si="6"/>
        <v>100227.34000000001</v>
      </c>
      <c r="AA14" s="8">
        <f t="shared" si="7"/>
        <v>8.3160554084788525E-3</v>
      </c>
      <c r="AF14" s="6">
        <v>45933</v>
      </c>
      <c r="AG14" s="47">
        <v>1.5300000000000001E-4</v>
      </c>
      <c r="AX14" s="17">
        <v>0.03</v>
      </c>
    </row>
    <row r="15" spans="1:50">
      <c r="A15" s="6">
        <v>45936</v>
      </c>
      <c r="B15" s="7">
        <v>528.57000000000005</v>
      </c>
      <c r="C15" s="8">
        <f t="shared" si="2"/>
        <v>2.1455618819687983E-2</v>
      </c>
      <c r="E15" s="6">
        <v>45936</v>
      </c>
      <c r="F15" s="7">
        <v>185.54</v>
      </c>
      <c r="G15" s="8">
        <f t="shared" si="3"/>
        <v>-1.1148148472679576E-2</v>
      </c>
      <c r="I15" s="6">
        <v>45936</v>
      </c>
      <c r="J15" s="7">
        <v>150.41</v>
      </c>
      <c r="K15" s="8">
        <f t="shared" si="4"/>
        <v>-1.2290362185519255E-2</v>
      </c>
      <c r="M15" s="6">
        <v>45936</v>
      </c>
      <c r="N15" s="7">
        <v>66.099999999999994</v>
      </c>
      <c r="O15" s="8">
        <f t="shared" si="0"/>
        <v>-8.2862997670772338E-3</v>
      </c>
      <c r="Q15" s="6">
        <v>45936</v>
      </c>
      <c r="R15" s="7">
        <v>67.09</v>
      </c>
      <c r="S15" s="8">
        <f t="shared" si="1"/>
        <v>-1.1917177039764482E-3</v>
      </c>
      <c r="U15" s="6">
        <v>45936</v>
      </c>
      <c r="V15" s="46">
        <v>6740.28</v>
      </c>
      <c r="W15" s="8">
        <f t="shared" si="5"/>
        <v>3.6399969738822847E-3</v>
      </c>
      <c r="Y15" s="6">
        <v>45936</v>
      </c>
      <c r="Z15" s="31">
        <f t="shared" si="6"/>
        <v>100258.64</v>
      </c>
      <c r="AA15" s="8">
        <f t="shared" si="7"/>
        <v>3.1224128743853195E-4</v>
      </c>
      <c r="AF15" s="6">
        <v>45936</v>
      </c>
      <c r="AG15" s="47">
        <v>1.5300000000000001E-4</v>
      </c>
      <c r="AX15" s="17">
        <v>0.03</v>
      </c>
    </row>
    <row r="16" spans="1:50">
      <c r="A16" s="6">
        <v>45937</v>
      </c>
      <c r="B16" s="7">
        <v>523.98</v>
      </c>
      <c r="C16" s="8">
        <f t="shared" si="2"/>
        <v>-8.7217312169509571E-3</v>
      </c>
      <c r="E16" s="6">
        <v>45937</v>
      </c>
      <c r="F16" s="7">
        <v>185.04</v>
      </c>
      <c r="G16" s="8">
        <f t="shared" si="3"/>
        <v>-2.6984743019416776E-3</v>
      </c>
      <c r="I16" s="6">
        <v>45937</v>
      </c>
      <c r="J16" s="7">
        <v>152.54</v>
      </c>
      <c r="K16" s="8">
        <f t="shared" si="4"/>
        <v>1.4061958068970471E-2</v>
      </c>
      <c r="M16" s="6">
        <v>45937</v>
      </c>
      <c r="N16" s="7">
        <v>66.790000000000006</v>
      </c>
      <c r="O16" s="8">
        <f t="shared" si="0"/>
        <v>1.0384621879904103E-2</v>
      </c>
      <c r="Q16" s="6">
        <v>45937</v>
      </c>
      <c r="R16" s="7">
        <v>68.150000000000006</v>
      </c>
      <c r="S16" s="8">
        <f t="shared" si="1"/>
        <v>1.5676156567744907E-2</v>
      </c>
      <c r="U16" s="6">
        <v>45937</v>
      </c>
      <c r="V16" s="46">
        <v>6714.59</v>
      </c>
      <c r="W16" s="8">
        <f t="shared" si="5"/>
        <v>-3.818696311234345E-3</v>
      </c>
      <c r="Y16" s="6">
        <v>45937</v>
      </c>
      <c r="Z16" s="31">
        <f t="shared" si="6"/>
        <v>100248.81</v>
      </c>
      <c r="AA16" s="8">
        <f t="shared" si="7"/>
        <v>-9.8051219621739821E-5</v>
      </c>
      <c r="AF16" s="6">
        <v>45937</v>
      </c>
      <c r="AG16" s="47">
        <v>1.5200000000000001E-4</v>
      </c>
      <c r="AX16" s="17">
        <v>0.04</v>
      </c>
    </row>
    <row r="17" spans="1:33">
      <c r="A17" s="6">
        <v>45938</v>
      </c>
      <c r="B17" s="7">
        <v>524.85</v>
      </c>
      <c r="C17" s="8">
        <f t="shared" si="2"/>
        <v>1.6589918281101695E-3</v>
      </c>
      <c r="E17" s="6">
        <v>45938</v>
      </c>
      <c r="F17" s="7">
        <v>189.11</v>
      </c>
      <c r="G17" s="8">
        <f t="shared" si="3"/>
        <v>2.1756838415997942E-2</v>
      </c>
      <c r="I17" s="6">
        <v>45938</v>
      </c>
      <c r="J17" s="7">
        <v>150.69</v>
      </c>
      <c r="K17" s="8">
        <f t="shared" si="4"/>
        <v>-1.2202110306029494E-2</v>
      </c>
      <c r="M17" s="6">
        <v>45938</v>
      </c>
      <c r="N17" s="7">
        <v>66.12</v>
      </c>
      <c r="O17" s="8">
        <f t="shared" si="0"/>
        <v>-1.0082095784721235E-2</v>
      </c>
      <c r="Q17" s="6">
        <v>45938</v>
      </c>
      <c r="R17" s="7">
        <v>68.73</v>
      </c>
      <c r="S17" s="8">
        <f t="shared" si="1"/>
        <v>8.4746269909722356E-3</v>
      </c>
      <c r="U17" s="6">
        <v>45938</v>
      </c>
      <c r="V17" s="46">
        <v>6753.72</v>
      </c>
      <c r="W17" s="8">
        <f t="shared" si="5"/>
        <v>5.8106934127934015E-3</v>
      </c>
      <c r="Y17" s="6">
        <v>45938</v>
      </c>
      <c r="Z17" s="31">
        <f t="shared" si="6"/>
        <v>100528.56</v>
      </c>
      <c r="AA17" s="8">
        <f t="shared" si="7"/>
        <v>2.7866704403383216E-3</v>
      </c>
      <c r="AF17" s="6">
        <v>45938</v>
      </c>
      <c r="AG17" s="47">
        <v>1.5200000000000001E-4</v>
      </c>
    </row>
    <row r="18" spans="1:33">
      <c r="A18" s="6">
        <v>45939</v>
      </c>
      <c r="B18" s="7">
        <v>522.4</v>
      </c>
      <c r="C18" s="8">
        <f t="shared" si="2"/>
        <v>-4.6789295195854624E-3</v>
      </c>
      <c r="E18" s="6">
        <v>45939</v>
      </c>
      <c r="F18" s="7">
        <v>192.57</v>
      </c>
      <c r="G18" s="8">
        <f t="shared" si="3"/>
        <v>1.8130867652614829E-2</v>
      </c>
      <c r="I18" s="6">
        <v>45939</v>
      </c>
      <c r="J18" s="7">
        <v>150.58000000000001</v>
      </c>
      <c r="K18" s="8">
        <f t="shared" si="4"/>
        <v>-7.3024200808675813E-4</v>
      </c>
      <c r="M18" s="6">
        <v>45939</v>
      </c>
      <c r="N18" s="7">
        <v>66.37</v>
      </c>
      <c r="O18" s="8">
        <f t="shared" si="0"/>
        <v>3.7738742050102531E-3</v>
      </c>
      <c r="Q18" s="6">
        <v>45939</v>
      </c>
      <c r="R18" s="7">
        <v>69.03</v>
      </c>
      <c r="S18" s="8">
        <f t="shared" si="1"/>
        <v>4.355407581870357E-3</v>
      </c>
      <c r="U18" s="6">
        <v>45939</v>
      </c>
      <c r="V18" s="46">
        <v>6735.11</v>
      </c>
      <c r="W18" s="8">
        <f t="shared" si="5"/>
        <v>-2.7593218696984716E-3</v>
      </c>
      <c r="Y18" s="6">
        <v>45939</v>
      </c>
      <c r="Z18" s="31">
        <f t="shared" si="6"/>
        <v>100017.76999999999</v>
      </c>
      <c r="AA18" s="8">
        <f t="shared" si="7"/>
        <v>-5.0939960310581196E-3</v>
      </c>
      <c r="AF18" s="6">
        <v>45939</v>
      </c>
      <c r="AG18" s="47">
        <v>1.5300000000000001E-4</v>
      </c>
    </row>
    <row r="19" spans="1:33">
      <c r="A19" s="6">
        <v>45940</v>
      </c>
      <c r="B19" s="7">
        <v>510.96</v>
      </c>
      <c r="C19" s="8">
        <f t="shared" si="2"/>
        <v>-2.2142268708887615E-2</v>
      </c>
      <c r="E19" s="6">
        <v>45940</v>
      </c>
      <c r="F19" s="7">
        <v>183.16</v>
      </c>
      <c r="G19" s="8">
        <f t="shared" si="3"/>
        <v>-5.0099636202901775E-2</v>
      </c>
      <c r="I19" s="6">
        <v>45940</v>
      </c>
      <c r="J19" s="7">
        <v>149.69</v>
      </c>
      <c r="K19" s="8">
        <f t="shared" si="4"/>
        <v>-5.9280154948319567E-3</v>
      </c>
      <c r="M19" s="6">
        <v>45940</v>
      </c>
      <c r="N19" s="7">
        <v>67.040000000000006</v>
      </c>
      <c r="O19" s="8">
        <f t="shared" si="0"/>
        <v>1.0044309015993973E-2</v>
      </c>
      <c r="Q19" s="6">
        <v>45940</v>
      </c>
      <c r="R19" s="7">
        <v>69.62</v>
      </c>
      <c r="S19" s="8">
        <f t="shared" si="1"/>
        <v>8.5106896679086105E-3</v>
      </c>
      <c r="U19" s="6">
        <v>45940</v>
      </c>
      <c r="V19" s="46">
        <v>6552.51</v>
      </c>
      <c r="W19" s="8">
        <f t="shared" si="5"/>
        <v>-2.748595997057204E-2</v>
      </c>
      <c r="Y19" s="6">
        <v>45940</v>
      </c>
      <c r="Z19" s="31">
        <f t="shared" si="6"/>
        <v>98982.44</v>
      </c>
      <c r="AA19" s="8">
        <f t="shared" si="7"/>
        <v>-1.0405409536682021E-2</v>
      </c>
      <c r="AF19" s="6">
        <v>45940</v>
      </c>
      <c r="AG19" s="47">
        <v>1.5300000000000001E-4</v>
      </c>
    </row>
    <row r="20" spans="1:33">
      <c r="A20" s="6">
        <v>45943</v>
      </c>
      <c r="B20" s="7">
        <v>514.04999999999995</v>
      </c>
      <c r="C20" s="8">
        <f t="shared" si="2"/>
        <v>6.0292277353936686E-3</v>
      </c>
      <c r="E20" s="6">
        <v>45943</v>
      </c>
      <c r="F20" s="7">
        <v>188.32</v>
      </c>
      <c r="G20" s="8">
        <f t="shared" si="3"/>
        <v>2.7782555723071794E-2</v>
      </c>
      <c r="I20" s="6">
        <v>45943</v>
      </c>
      <c r="J20" s="7">
        <v>147.69</v>
      </c>
      <c r="K20" s="8">
        <f t="shared" si="4"/>
        <v>-1.3451006488925478E-2</v>
      </c>
      <c r="M20" s="6">
        <v>45943</v>
      </c>
      <c r="N20" s="7">
        <v>66.8</v>
      </c>
      <c r="O20" s="8">
        <f t="shared" si="0"/>
        <v>-3.5863756312276888E-3</v>
      </c>
      <c r="Q20" s="6">
        <v>45943</v>
      </c>
      <c r="R20" s="7">
        <v>67.150000000000006</v>
      </c>
      <c r="S20" s="8">
        <f t="shared" si="1"/>
        <v>-3.6122959414046182E-2</v>
      </c>
      <c r="U20" s="6">
        <v>45943</v>
      </c>
      <c r="V20" s="46">
        <v>6654.72</v>
      </c>
      <c r="W20" s="8">
        <f t="shared" si="5"/>
        <v>1.5478194983781826E-2</v>
      </c>
      <c r="Y20" s="6">
        <v>45943</v>
      </c>
      <c r="Z20" s="31">
        <f t="shared" si="6"/>
        <v>98488.98</v>
      </c>
      <c r="AA20" s="8">
        <f t="shared" si="7"/>
        <v>-4.9977969180097469E-3</v>
      </c>
      <c r="AF20" s="6">
        <v>45943</v>
      </c>
      <c r="AG20" s="47">
        <v>1.5300000000000001E-4</v>
      </c>
    </row>
    <row r="21" spans="1:33">
      <c r="A21" s="6">
        <v>45944</v>
      </c>
      <c r="B21" s="7">
        <v>513.57000000000005</v>
      </c>
      <c r="C21" s="8">
        <f t="shared" si="2"/>
        <v>-9.3419753393063647E-4</v>
      </c>
      <c r="E21" s="6">
        <v>45944</v>
      </c>
      <c r="F21" s="7">
        <v>180.03</v>
      </c>
      <c r="G21" s="8">
        <f t="shared" si="3"/>
        <v>-4.5019139842435364E-2</v>
      </c>
      <c r="I21" s="6">
        <v>45944</v>
      </c>
      <c r="J21" s="7">
        <v>149.16</v>
      </c>
      <c r="K21" s="8">
        <f t="shared" si="4"/>
        <v>9.9040728724012293E-3</v>
      </c>
      <c r="L21" s="16"/>
      <c r="M21" s="6">
        <v>45944</v>
      </c>
      <c r="N21" s="7">
        <v>67.510000000000005</v>
      </c>
      <c r="O21" s="8">
        <f t="shared" si="0"/>
        <v>1.0572654511179266E-2</v>
      </c>
      <c r="Q21" s="6">
        <v>45944</v>
      </c>
      <c r="R21" s="7">
        <v>68.61</v>
      </c>
      <c r="S21" s="8">
        <f t="shared" si="1"/>
        <v>2.1509373733552804E-2</v>
      </c>
      <c r="U21" s="6">
        <v>45944</v>
      </c>
      <c r="V21" s="46">
        <v>6644.31</v>
      </c>
      <c r="W21" s="8">
        <f t="shared" si="5"/>
        <v>-1.565528031162684E-3</v>
      </c>
      <c r="Y21" s="6">
        <v>45944</v>
      </c>
      <c r="Z21" s="31">
        <f t="shared" si="6"/>
        <v>98750.290000000008</v>
      </c>
      <c r="AA21" s="8">
        <f t="shared" si="7"/>
        <v>2.649676739155199E-3</v>
      </c>
      <c r="AF21" s="6">
        <v>45944</v>
      </c>
      <c r="AG21" s="47">
        <v>1.5300000000000001E-4</v>
      </c>
    </row>
    <row r="22" spans="1:33">
      <c r="A22" s="6">
        <v>45945</v>
      </c>
      <c r="B22" s="7">
        <v>513.42999999999995</v>
      </c>
      <c r="C22" s="8">
        <f t="shared" si="2"/>
        <v>-2.7263875534037593E-4</v>
      </c>
      <c r="E22" s="6">
        <v>45945</v>
      </c>
      <c r="F22" s="7">
        <v>179.83</v>
      </c>
      <c r="G22" s="8">
        <f t="shared" si="3"/>
        <v>-1.1115434924256463E-3</v>
      </c>
      <c r="I22" s="6">
        <v>45945</v>
      </c>
      <c r="J22" s="7">
        <v>147.41999999999999</v>
      </c>
      <c r="K22" s="8">
        <f t="shared" si="4"/>
        <v>-1.1733899549477326E-2</v>
      </c>
      <c r="L22" s="16"/>
      <c r="M22" s="6">
        <v>45945</v>
      </c>
      <c r="N22" s="7">
        <v>67.08</v>
      </c>
      <c r="O22" s="8">
        <f t="shared" si="0"/>
        <v>-6.3897980987711218E-3</v>
      </c>
      <c r="Q22" s="6">
        <v>45945</v>
      </c>
      <c r="R22" s="7">
        <v>68.650000000000006</v>
      </c>
      <c r="S22" s="8">
        <f t="shared" si="1"/>
        <v>5.8283551118069421E-4</v>
      </c>
      <c r="U22" s="6">
        <v>45945</v>
      </c>
      <c r="V22" s="46">
        <v>6671.06</v>
      </c>
      <c r="W22" s="8">
        <f t="shared" si="5"/>
        <v>4.0179185387894355E-3</v>
      </c>
      <c r="Y22" s="6">
        <v>45945</v>
      </c>
      <c r="Z22" s="31">
        <f t="shared" si="6"/>
        <v>98896.48000000001</v>
      </c>
      <c r="AA22" s="8">
        <f t="shared" si="7"/>
        <v>1.4793060029216758E-3</v>
      </c>
      <c r="AF22" s="6">
        <v>45945</v>
      </c>
      <c r="AG22" s="47">
        <v>1.5300000000000001E-4</v>
      </c>
    </row>
    <row r="23" spans="1:33">
      <c r="A23" s="6">
        <v>45946</v>
      </c>
      <c r="B23" s="7">
        <v>511.61</v>
      </c>
      <c r="C23" s="8">
        <f t="shared" si="2"/>
        <v>-3.5510846650801801E-3</v>
      </c>
      <c r="E23" s="6">
        <v>45946</v>
      </c>
      <c r="F23" s="7">
        <v>181.81</v>
      </c>
      <c r="G23" s="8">
        <f t="shared" si="3"/>
        <v>1.0950225554075873E-2</v>
      </c>
      <c r="I23" s="6">
        <v>45946</v>
      </c>
      <c r="J23" s="7">
        <v>149.6</v>
      </c>
      <c r="K23" s="8">
        <f t="shared" si="4"/>
        <v>1.4679409779234166E-2</v>
      </c>
      <c r="M23" s="6">
        <v>45946</v>
      </c>
      <c r="N23" s="7">
        <v>67.59</v>
      </c>
      <c r="O23" s="8">
        <f t="shared" si="0"/>
        <v>7.5741061572547896E-3</v>
      </c>
      <c r="Q23" s="6">
        <v>45946</v>
      </c>
      <c r="R23" s="7">
        <v>70.16</v>
      </c>
      <c r="S23" s="8">
        <f t="shared" si="1"/>
        <v>2.1757215849947442E-2</v>
      </c>
      <c r="U23" s="6">
        <v>45946</v>
      </c>
      <c r="V23" s="46">
        <v>6629.07</v>
      </c>
      <c r="W23" s="8">
        <f t="shared" si="5"/>
        <v>-6.3142449751388335E-3</v>
      </c>
      <c r="Y23" s="6">
        <v>45946</v>
      </c>
      <c r="Z23" s="31">
        <f t="shared" si="6"/>
        <v>98947.570000000022</v>
      </c>
      <c r="AA23" s="8">
        <f t="shared" si="7"/>
        <v>5.1646740082060311E-4</v>
      </c>
      <c r="AF23" s="6">
        <v>45946</v>
      </c>
      <c r="AG23" s="47">
        <v>1.5300000000000001E-4</v>
      </c>
    </row>
    <row r="24" spans="1:33">
      <c r="A24" s="6">
        <v>45947</v>
      </c>
      <c r="B24" s="7">
        <v>513.58000000000004</v>
      </c>
      <c r="C24" s="8">
        <f t="shared" si="2"/>
        <v>3.8431947731934805E-3</v>
      </c>
      <c r="E24" s="6">
        <v>45947</v>
      </c>
      <c r="F24" s="7">
        <v>183.22</v>
      </c>
      <c r="G24" s="8">
        <f t="shared" si="3"/>
        <v>7.7254308558810866E-3</v>
      </c>
      <c r="I24" s="6">
        <v>45947</v>
      </c>
      <c r="J24" s="7">
        <v>151.4</v>
      </c>
      <c r="K24" s="8">
        <f t="shared" si="4"/>
        <v>1.196027546297169E-2</v>
      </c>
      <c r="M24" s="6">
        <v>45947</v>
      </c>
      <c r="N24" s="7">
        <v>68.44</v>
      </c>
      <c r="O24" s="8">
        <f t="shared" si="0"/>
        <v>1.2497405911729856E-2</v>
      </c>
      <c r="Q24" s="6">
        <v>45947</v>
      </c>
      <c r="R24" s="7">
        <v>70.22</v>
      </c>
      <c r="S24" s="8">
        <f t="shared" si="1"/>
        <v>8.548226763586609E-4</v>
      </c>
      <c r="U24" s="6">
        <v>45947</v>
      </c>
      <c r="V24" s="46">
        <v>6664.01</v>
      </c>
      <c r="W24" s="8">
        <f t="shared" si="5"/>
        <v>5.2568825980633324E-3</v>
      </c>
      <c r="Y24" s="6">
        <v>45947</v>
      </c>
      <c r="Z24" s="31">
        <f t="shared" si="6"/>
        <v>99295.62</v>
      </c>
      <c r="AA24" s="8">
        <f t="shared" si="7"/>
        <v>3.5113474274555126E-3</v>
      </c>
      <c r="AF24" s="6">
        <v>45947</v>
      </c>
      <c r="AG24" s="47">
        <v>1.5200000000000001E-4</v>
      </c>
    </row>
    <row r="25" spans="1:33">
      <c r="A25" s="6">
        <v>45950</v>
      </c>
      <c r="B25" s="7">
        <v>516.79</v>
      </c>
      <c r="C25" s="8">
        <f t="shared" si="2"/>
        <v>6.2307916284104932E-3</v>
      </c>
      <c r="E25" s="6">
        <v>45950</v>
      </c>
      <c r="F25" s="7">
        <v>182.64</v>
      </c>
      <c r="G25" s="8">
        <f t="shared" si="3"/>
        <v>-3.1706143655225736E-3</v>
      </c>
      <c r="I25" s="6">
        <v>45950</v>
      </c>
      <c r="J25" s="7">
        <v>151.96</v>
      </c>
      <c r="K25" s="8">
        <f t="shared" si="4"/>
        <v>3.6919873160764609E-3</v>
      </c>
      <c r="M25" s="6">
        <v>45950</v>
      </c>
      <c r="N25" s="7">
        <v>68.44</v>
      </c>
      <c r="O25" s="8">
        <f t="shared" si="0"/>
        <v>0</v>
      </c>
      <c r="Q25" s="6">
        <v>45950</v>
      </c>
      <c r="R25" s="7">
        <v>69.760000000000005</v>
      </c>
      <c r="S25" s="8">
        <f t="shared" si="1"/>
        <v>-6.5723911395619101E-3</v>
      </c>
      <c r="U25" s="6">
        <v>45950</v>
      </c>
      <c r="V25" s="46">
        <v>6735.13</v>
      </c>
      <c r="W25" s="8">
        <f t="shared" si="5"/>
        <v>1.0615706365319902E-2</v>
      </c>
      <c r="Y25" s="6">
        <v>45950</v>
      </c>
      <c r="Z25" s="31">
        <f t="shared" si="6"/>
        <v>99624.439999999988</v>
      </c>
      <c r="AA25" s="8">
        <f t="shared" si="7"/>
        <v>3.3060546985567317E-3</v>
      </c>
      <c r="AF25" s="6">
        <v>45950</v>
      </c>
      <c r="AG25" s="47">
        <v>1.5100000000000001E-4</v>
      </c>
    </row>
    <row r="26" spans="1:33">
      <c r="A26" s="6">
        <v>45951</v>
      </c>
      <c r="B26" s="7">
        <v>517.66</v>
      </c>
      <c r="C26" s="8">
        <f t="shared" si="2"/>
        <v>1.6820536616067938E-3</v>
      </c>
      <c r="E26" s="6">
        <v>45951</v>
      </c>
      <c r="F26" s="7">
        <v>181.16</v>
      </c>
      <c r="G26" s="8">
        <f t="shared" si="3"/>
        <v>-8.1363835335269506E-3</v>
      </c>
      <c r="I26" s="6">
        <v>45951</v>
      </c>
      <c r="J26" s="7">
        <v>151.62</v>
      </c>
      <c r="K26" s="8">
        <f t="shared" si="4"/>
        <v>-2.2399376912669968E-3</v>
      </c>
      <c r="M26" s="6">
        <v>45951</v>
      </c>
      <c r="N26" s="7">
        <v>71.22</v>
      </c>
      <c r="O26" s="8">
        <f t="shared" si="0"/>
        <v>3.9816228825639011E-2</v>
      </c>
      <c r="Q26" s="6">
        <v>45951</v>
      </c>
      <c r="R26" s="7">
        <v>68.900000000000006</v>
      </c>
      <c r="S26" s="8">
        <f t="shared" si="1"/>
        <v>-1.240460158111132E-2</v>
      </c>
      <c r="U26" s="6">
        <v>45951</v>
      </c>
      <c r="V26" s="46">
        <v>6735.35</v>
      </c>
      <c r="W26" s="8">
        <f t="shared" si="5"/>
        <v>3.2664017914663565E-5</v>
      </c>
      <c r="Y26" s="6">
        <v>45951</v>
      </c>
      <c r="Z26" s="31">
        <f t="shared" si="6"/>
        <v>99289.949999999983</v>
      </c>
      <c r="AA26" s="8">
        <f t="shared" si="7"/>
        <v>-3.3631585455436942E-3</v>
      </c>
      <c r="AF26" s="6">
        <v>45951</v>
      </c>
      <c r="AG26" s="47">
        <v>1.4999999999999999E-4</v>
      </c>
    </row>
    <row r="27" spans="1:33">
      <c r="A27" s="6">
        <v>45952</v>
      </c>
      <c r="B27" s="7">
        <v>520.54</v>
      </c>
      <c r="C27" s="8">
        <f t="shared" si="2"/>
        <v>5.5480781881667701E-3</v>
      </c>
      <c r="E27" s="6">
        <v>45952</v>
      </c>
      <c r="F27" s="7">
        <v>180.28</v>
      </c>
      <c r="G27" s="8">
        <f t="shared" si="3"/>
        <v>-4.8694208655655552E-3</v>
      </c>
      <c r="I27" s="6">
        <v>45952</v>
      </c>
      <c r="J27" s="7">
        <v>152.19999999999999</v>
      </c>
      <c r="K27" s="8">
        <f t="shared" si="4"/>
        <v>3.8180547994274725E-3</v>
      </c>
      <c r="M27" s="6">
        <v>45952</v>
      </c>
      <c r="N27" s="7">
        <v>70.81</v>
      </c>
      <c r="O27" s="8">
        <f t="shared" si="0"/>
        <v>-5.7734441859489958E-3</v>
      </c>
      <c r="Q27" s="6">
        <v>45952</v>
      </c>
      <c r="R27" s="7">
        <v>69.72</v>
      </c>
      <c r="S27" s="8">
        <f t="shared" si="1"/>
        <v>1.1831042632207181E-2</v>
      </c>
      <c r="U27" s="6">
        <v>45952</v>
      </c>
      <c r="V27" s="46">
        <v>6699.4</v>
      </c>
      <c r="W27" s="8">
        <f t="shared" si="5"/>
        <v>-5.3518056988170791E-3</v>
      </c>
      <c r="Y27" s="6">
        <v>45952</v>
      </c>
      <c r="Z27" s="31">
        <f t="shared" si="6"/>
        <v>99166.6</v>
      </c>
      <c r="AA27" s="8">
        <f t="shared" si="7"/>
        <v>-1.2430934215492105E-3</v>
      </c>
      <c r="AF27" s="6">
        <v>45952</v>
      </c>
      <c r="AG27" s="47">
        <v>1.4999999999999999E-4</v>
      </c>
    </row>
    <row r="28" spans="1:33">
      <c r="A28" s="6">
        <v>45953</v>
      </c>
      <c r="B28" s="7">
        <v>520.55999999999995</v>
      </c>
      <c r="C28" s="8">
        <f t="shared" si="2"/>
        <v>3.8420900974708165E-5</v>
      </c>
      <c r="E28" s="6">
        <v>45953</v>
      </c>
      <c r="F28" s="7">
        <v>182.16</v>
      </c>
      <c r="G28" s="8">
        <f t="shared" si="3"/>
        <v>1.0374223933036669E-2</v>
      </c>
      <c r="I28" s="6">
        <v>45953</v>
      </c>
      <c r="J28" s="7">
        <v>152.21</v>
      </c>
      <c r="K28" s="8">
        <f t="shared" si="4"/>
        <v>6.5700863990181372E-5</v>
      </c>
      <c r="M28" s="6">
        <v>45953</v>
      </c>
      <c r="N28" s="7">
        <v>69.94</v>
      </c>
      <c r="O28" s="8">
        <f t="shared" si="0"/>
        <v>-1.2362502028452854E-2</v>
      </c>
      <c r="Q28" s="6">
        <v>45953</v>
      </c>
      <c r="R28" s="7">
        <v>69.89</v>
      </c>
      <c r="S28" s="8">
        <f t="shared" si="1"/>
        <v>2.4353568372174192E-3</v>
      </c>
      <c r="U28" s="6">
        <v>45953</v>
      </c>
      <c r="V28" s="46">
        <v>6738.44</v>
      </c>
      <c r="W28" s="8">
        <f t="shared" si="5"/>
        <v>5.8104739805954339E-3</v>
      </c>
      <c r="Y28" s="6">
        <v>45953</v>
      </c>
      <c r="Z28" s="31">
        <f t="shared" si="6"/>
        <v>99024.530000000013</v>
      </c>
      <c r="AA28" s="8">
        <f t="shared" si="7"/>
        <v>-1.433666827917309E-3</v>
      </c>
      <c r="AF28" s="6">
        <v>45953</v>
      </c>
      <c r="AG28" s="47">
        <v>1.4999999999999999E-4</v>
      </c>
    </row>
    <row r="29" spans="1:33">
      <c r="A29" s="6">
        <v>45954</v>
      </c>
      <c r="B29" s="7">
        <v>523.61</v>
      </c>
      <c r="C29" s="8">
        <f t="shared" si="2"/>
        <v>5.8419772151516447E-3</v>
      </c>
      <c r="E29" s="6">
        <v>45954</v>
      </c>
      <c r="F29" s="7">
        <v>186.26</v>
      </c>
      <c r="G29" s="8">
        <f t="shared" si="3"/>
        <v>2.2258125338027658E-2</v>
      </c>
      <c r="I29" s="6">
        <v>45954</v>
      </c>
      <c r="J29" s="7">
        <v>152.49</v>
      </c>
      <c r="K29" s="8">
        <f t="shared" si="4"/>
        <v>1.8378738353453672E-3</v>
      </c>
      <c r="M29" s="6">
        <v>45954</v>
      </c>
      <c r="N29" s="7">
        <v>69.709999999999994</v>
      </c>
      <c r="O29" s="8">
        <f t="shared" si="0"/>
        <v>-3.2939521369224549E-3</v>
      </c>
      <c r="Q29" s="6">
        <v>45954</v>
      </c>
      <c r="R29" s="7">
        <v>69.69</v>
      </c>
      <c r="S29" s="8">
        <f t="shared" si="1"/>
        <v>-2.8657420386102102E-3</v>
      </c>
      <c r="U29" s="6">
        <v>45954</v>
      </c>
      <c r="V29" s="46">
        <v>6791.69</v>
      </c>
      <c r="W29" s="8">
        <f t="shared" si="5"/>
        <v>7.8713619070685803E-3</v>
      </c>
      <c r="Y29" s="6">
        <v>45954</v>
      </c>
      <c r="Z29" s="31">
        <f t="shared" si="6"/>
        <v>98714.390000000014</v>
      </c>
      <c r="AA29" s="8">
        <f t="shared" si="7"/>
        <v>-3.1368660687831553E-3</v>
      </c>
      <c r="AF29" s="6">
        <v>45954</v>
      </c>
      <c r="AG29" s="47">
        <v>1.4899999999999999E-4</v>
      </c>
    </row>
    <row r="30" spans="1:33">
      <c r="A30" s="6">
        <v>45957</v>
      </c>
      <c r="B30" s="7">
        <v>531.52</v>
      </c>
      <c r="C30" s="8">
        <f t="shared" si="2"/>
        <v>1.4993694023049847E-2</v>
      </c>
      <c r="E30" s="6">
        <v>45957</v>
      </c>
      <c r="F30" s="7">
        <v>191.49</v>
      </c>
      <c r="G30" s="8">
        <f t="shared" si="3"/>
        <v>2.769204084256395E-2</v>
      </c>
      <c r="I30" s="6">
        <v>45957</v>
      </c>
      <c r="J30" s="7">
        <v>151.74</v>
      </c>
      <c r="K30" s="8">
        <f t="shared" si="4"/>
        <v>-4.9304902169920659E-3</v>
      </c>
      <c r="M30" s="6">
        <v>45957</v>
      </c>
      <c r="N30" s="7">
        <v>70.06</v>
      </c>
      <c r="O30" s="8">
        <f t="shared" si="0"/>
        <v>5.0082382710334179E-3</v>
      </c>
      <c r="Q30" s="6">
        <v>45957</v>
      </c>
      <c r="R30" s="7">
        <v>69.680000000000007</v>
      </c>
      <c r="S30" s="8">
        <f t="shared" si="1"/>
        <v>-1.4350290617999982E-4</v>
      </c>
      <c r="U30" s="6">
        <v>45957</v>
      </c>
      <c r="V30" s="46">
        <v>6875.16</v>
      </c>
      <c r="W30" s="8">
        <f t="shared" si="5"/>
        <v>1.2215109973364811E-2</v>
      </c>
      <c r="Y30" s="6">
        <v>45957</v>
      </c>
      <c r="Z30" s="31">
        <f t="shared" si="6"/>
        <v>99060.51999999999</v>
      </c>
      <c r="AA30" s="8">
        <f t="shared" si="7"/>
        <v>3.5002453384049355E-3</v>
      </c>
      <c r="AF30" s="6">
        <v>45957</v>
      </c>
      <c r="AG30" s="47">
        <v>1.4799999999999999E-4</v>
      </c>
    </row>
    <row r="31" spans="1:33">
      <c r="A31" s="6">
        <v>45958</v>
      </c>
      <c r="B31" s="7">
        <v>542.07000000000005</v>
      </c>
      <c r="C31" s="8">
        <f t="shared" si="2"/>
        <v>1.9654317966919119E-2</v>
      </c>
      <c r="E31" s="6">
        <v>45958</v>
      </c>
      <c r="F31" s="7">
        <v>201.03</v>
      </c>
      <c r="G31" s="8">
        <f t="shared" si="3"/>
        <v>4.8618562717113407E-2</v>
      </c>
      <c r="I31" s="6">
        <v>45958</v>
      </c>
      <c r="J31" s="7">
        <v>151.37</v>
      </c>
      <c r="K31" s="8">
        <f t="shared" si="4"/>
        <v>-2.4413591354549963E-3</v>
      </c>
      <c r="M31" s="6">
        <v>45958</v>
      </c>
      <c r="N31" s="7">
        <v>70.16</v>
      </c>
      <c r="O31" s="8">
        <f t="shared" si="0"/>
        <v>1.4263302945866608E-3</v>
      </c>
      <c r="Q31" s="6">
        <v>45958</v>
      </c>
      <c r="R31" s="7">
        <v>69.319999999999993</v>
      </c>
      <c r="S31" s="8">
        <f t="shared" si="1"/>
        <v>-5.1798676968422032E-3</v>
      </c>
      <c r="U31" s="6">
        <v>45958</v>
      </c>
      <c r="V31" s="46">
        <v>6890.89</v>
      </c>
      <c r="W31" s="8">
        <f t="shared" si="5"/>
        <v>2.2853333884670069E-3</v>
      </c>
      <c r="Y31" s="6">
        <v>45958</v>
      </c>
      <c r="Z31" s="31">
        <f t="shared" si="6"/>
        <v>98602.09</v>
      </c>
      <c r="AA31" s="8">
        <f t="shared" si="7"/>
        <v>-4.6385183516402511E-3</v>
      </c>
      <c r="AF31" s="6">
        <v>45958</v>
      </c>
      <c r="AG31" s="47">
        <v>1.4799999999999999E-4</v>
      </c>
    </row>
    <row r="32" spans="1:33">
      <c r="A32" s="6">
        <v>45959</v>
      </c>
      <c r="B32" s="7">
        <v>541.54999999999995</v>
      </c>
      <c r="C32" s="8">
        <f t="shared" si="2"/>
        <v>-9.5974611010316089E-4</v>
      </c>
      <c r="E32" s="6">
        <v>45959</v>
      </c>
      <c r="F32" s="7">
        <v>207.04</v>
      </c>
      <c r="G32" s="8">
        <f t="shared" si="3"/>
        <v>2.9457860659346562E-2</v>
      </c>
      <c r="I32" s="6">
        <v>45959</v>
      </c>
      <c r="J32" s="7">
        <v>148.77000000000001</v>
      </c>
      <c r="K32" s="8">
        <f t="shared" si="4"/>
        <v>-1.7325681605321597E-2</v>
      </c>
      <c r="M32" s="6">
        <v>45959</v>
      </c>
      <c r="N32" s="7">
        <v>68.349999999999994</v>
      </c>
      <c r="O32" s="8">
        <f t="shared" si="0"/>
        <v>-2.6136784893969069E-2</v>
      </c>
      <c r="Q32" s="6">
        <v>45959</v>
      </c>
      <c r="R32" s="7">
        <v>66.56</v>
      </c>
      <c r="S32" s="8">
        <f t="shared" si="1"/>
        <v>-4.0629668334452085E-2</v>
      </c>
      <c r="U32" s="6">
        <v>45959</v>
      </c>
      <c r="V32" s="46">
        <v>6890.59</v>
      </c>
      <c r="W32" s="8">
        <f t="shared" si="5"/>
        <v>-4.3536688374153406E-5</v>
      </c>
      <c r="Y32" s="6">
        <v>45959</v>
      </c>
      <c r="Z32" s="31">
        <f t="shared" si="6"/>
        <v>97329.73</v>
      </c>
      <c r="AA32" s="8">
        <f t="shared" si="7"/>
        <v>-1.2987965771556182E-2</v>
      </c>
      <c r="AF32" s="6">
        <v>45959</v>
      </c>
      <c r="AG32" s="47">
        <v>1.4799999999999999E-4</v>
      </c>
    </row>
    <row r="33" spans="1:33">
      <c r="A33" s="6">
        <v>45960</v>
      </c>
      <c r="B33" s="7">
        <v>525.76</v>
      </c>
      <c r="C33" s="8">
        <f t="shared" si="2"/>
        <v>-2.9590563432842814E-2</v>
      </c>
      <c r="E33" s="6">
        <v>45960</v>
      </c>
      <c r="F33" s="7">
        <v>202.89</v>
      </c>
      <c r="G33" s="8">
        <f t="shared" si="3"/>
        <v>-2.0248051057577456E-2</v>
      </c>
      <c r="I33" s="6">
        <v>45960</v>
      </c>
      <c r="J33" s="7">
        <v>149.58000000000001</v>
      </c>
      <c r="K33" s="8">
        <f t="shared" si="4"/>
        <v>5.4298775943692401E-3</v>
      </c>
      <c r="M33" s="6">
        <v>45960</v>
      </c>
      <c r="N33" s="7">
        <v>68.98</v>
      </c>
      <c r="O33" s="8">
        <f t="shared" si="0"/>
        <v>9.1750443387365078E-3</v>
      </c>
      <c r="Q33" s="6">
        <v>45960</v>
      </c>
      <c r="R33" s="7">
        <v>66.569999999999993</v>
      </c>
      <c r="S33" s="8">
        <f t="shared" si="1"/>
        <v>1.5022909965890205E-4</v>
      </c>
      <c r="U33" s="6">
        <v>45960</v>
      </c>
      <c r="V33" s="46">
        <v>6822.34</v>
      </c>
      <c r="W33" s="8">
        <f t="shared" si="5"/>
        <v>-9.9541911976876295E-3</v>
      </c>
      <c r="Y33" s="6">
        <v>45960</v>
      </c>
      <c r="Z33" s="31">
        <f t="shared" si="6"/>
        <v>96736.349999999977</v>
      </c>
      <c r="AA33" s="8">
        <f t="shared" si="7"/>
        <v>-6.1152556818394009E-3</v>
      </c>
      <c r="AF33" s="6">
        <v>45960</v>
      </c>
      <c r="AG33" s="47">
        <v>1.4899999999999999E-4</v>
      </c>
    </row>
    <row r="34" spans="1:33">
      <c r="A34" s="6">
        <v>45961</v>
      </c>
      <c r="B34" s="7">
        <v>517.80999999999995</v>
      </c>
      <c r="C34" s="8">
        <f t="shared" si="2"/>
        <v>-1.5236455242090181E-2</v>
      </c>
      <c r="E34" s="6">
        <v>45961</v>
      </c>
      <c r="F34" s="7">
        <v>202.49</v>
      </c>
      <c r="G34" s="8">
        <f t="shared" si="3"/>
        <v>-1.97345764378013E-3</v>
      </c>
      <c r="I34" s="6">
        <v>45961</v>
      </c>
      <c r="J34" s="7">
        <v>150.37</v>
      </c>
      <c r="K34" s="8">
        <f t="shared" si="4"/>
        <v>5.2675567707071895E-3</v>
      </c>
      <c r="M34" s="6">
        <v>45961</v>
      </c>
      <c r="N34" s="7">
        <v>68.900000000000006</v>
      </c>
      <c r="O34" s="8">
        <f t="shared" si="0"/>
        <v>-1.160429489081891E-3</v>
      </c>
      <c r="Q34" s="6">
        <v>45961</v>
      </c>
      <c r="R34" s="7">
        <v>66.83</v>
      </c>
      <c r="S34" s="8">
        <f t="shared" si="1"/>
        <v>3.8980559103665977E-3</v>
      </c>
      <c r="U34" s="6">
        <v>45961</v>
      </c>
      <c r="V34" s="46">
        <v>6840.2</v>
      </c>
      <c r="W34" s="8">
        <f t="shared" si="5"/>
        <v>2.6144494615600103E-3</v>
      </c>
      <c r="Y34" s="6">
        <v>45961</v>
      </c>
      <c r="Z34" s="31">
        <f t="shared" si="6"/>
        <v>96764.28</v>
      </c>
      <c r="AA34" s="8">
        <f t="shared" si="7"/>
        <v>2.8868123265533385E-4</v>
      </c>
      <c r="AF34" s="6">
        <v>45961</v>
      </c>
      <c r="AG34" s="47">
        <v>1.4799999999999999E-4</v>
      </c>
    </row>
    <row r="35" spans="1:33">
      <c r="A35" s="6">
        <v>45964</v>
      </c>
      <c r="B35" s="7">
        <v>517.03</v>
      </c>
      <c r="C35" s="8">
        <f t="shared" si="2"/>
        <v>-1.507479702586237E-3</v>
      </c>
      <c r="E35" s="6">
        <v>45964</v>
      </c>
      <c r="F35" s="7">
        <v>206.88</v>
      </c>
      <c r="G35" s="8">
        <f t="shared" si="3"/>
        <v>2.1448412412369298E-2</v>
      </c>
      <c r="I35" s="6">
        <v>45964</v>
      </c>
      <c r="J35" s="7">
        <v>148.02000000000001</v>
      </c>
      <c r="K35" s="8">
        <f t="shared" si="4"/>
        <v>-1.5751523764908373E-2</v>
      </c>
      <c r="M35" s="6">
        <v>45964</v>
      </c>
      <c r="N35" s="7">
        <v>67.97</v>
      </c>
      <c r="O35" s="8">
        <f t="shared" si="0"/>
        <v>-1.3589746661066096E-2</v>
      </c>
      <c r="Q35" s="6">
        <v>45964</v>
      </c>
      <c r="R35" s="7">
        <v>66.510000000000005</v>
      </c>
      <c r="S35" s="8">
        <f t="shared" si="1"/>
        <v>-4.7997692266488609E-3</v>
      </c>
      <c r="U35" s="6">
        <v>45964</v>
      </c>
      <c r="V35" s="46">
        <v>6851.97</v>
      </c>
      <c r="W35" s="8">
        <f t="shared" si="5"/>
        <v>1.7192311955086541E-3</v>
      </c>
      <c r="Y35" s="6">
        <v>45964</v>
      </c>
      <c r="Z35" s="31">
        <f t="shared" si="6"/>
        <v>95856.160000000018</v>
      </c>
      <c r="AA35" s="8">
        <f t="shared" si="7"/>
        <v>-9.4291834071668235E-3</v>
      </c>
      <c r="AF35" s="6">
        <v>45964</v>
      </c>
      <c r="AG35" s="47">
        <v>1.4999999999999999E-4</v>
      </c>
    </row>
    <row r="36" spans="1:33">
      <c r="A36" s="6">
        <v>45965</v>
      </c>
      <c r="B36" s="7">
        <v>514.33000000000004</v>
      </c>
      <c r="C36" s="8">
        <f t="shared" si="2"/>
        <v>-5.2358171115765365E-3</v>
      </c>
      <c r="E36" s="6">
        <v>45965</v>
      </c>
      <c r="F36" s="7">
        <v>198.69</v>
      </c>
      <c r="G36" s="8">
        <f t="shared" si="3"/>
        <v>-4.0393093858549521E-2</v>
      </c>
      <c r="I36" s="6">
        <v>45965</v>
      </c>
      <c r="J36" s="7">
        <v>147.16999999999999</v>
      </c>
      <c r="K36" s="8">
        <f t="shared" si="4"/>
        <v>-5.7590185932990135E-3</v>
      </c>
      <c r="M36" s="6">
        <v>45965</v>
      </c>
      <c r="N36" s="7">
        <v>68.66</v>
      </c>
      <c r="O36" s="8">
        <f t="shared" si="0"/>
        <v>1.0100356670999061E-2</v>
      </c>
      <c r="Q36" s="6">
        <v>45965</v>
      </c>
      <c r="R36" s="7">
        <v>66.87</v>
      </c>
      <c r="S36" s="8">
        <f t="shared" si="1"/>
        <v>5.3981237695573097E-3</v>
      </c>
      <c r="U36" s="6">
        <v>45965</v>
      </c>
      <c r="V36" s="46">
        <v>6771.55</v>
      </c>
      <c r="W36" s="8">
        <f t="shared" si="5"/>
        <v>-1.1806190194192139E-2</v>
      </c>
      <c r="Y36" s="6">
        <v>45965</v>
      </c>
      <c r="Z36" s="31">
        <f t="shared" si="6"/>
        <v>95692.22</v>
      </c>
      <c r="AA36" s="8">
        <f t="shared" si="7"/>
        <v>-1.7117350721441837E-3</v>
      </c>
      <c r="AF36" s="6">
        <v>45965</v>
      </c>
      <c r="AG36" s="47">
        <v>1.4999999999999999E-4</v>
      </c>
    </row>
    <row r="37" spans="1:33">
      <c r="A37" s="6">
        <v>45966</v>
      </c>
      <c r="B37" s="7">
        <v>507.16</v>
      </c>
      <c r="C37" s="8">
        <f t="shared" si="2"/>
        <v>-1.4038547132903064E-2</v>
      </c>
      <c r="E37" s="6">
        <v>45966</v>
      </c>
      <c r="F37" s="7">
        <v>195.21</v>
      </c>
      <c r="G37" s="8">
        <f t="shared" si="3"/>
        <v>-1.7669918989995363E-2</v>
      </c>
      <c r="I37" s="6">
        <v>45966</v>
      </c>
      <c r="J37" s="7">
        <v>145.79</v>
      </c>
      <c r="K37" s="8">
        <f t="shared" si="4"/>
        <v>-9.4211510592908977E-3</v>
      </c>
      <c r="M37" s="6">
        <v>45966</v>
      </c>
      <c r="N37" s="7">
        <v>68.510000000000005</v>
      </c>
      <c r="O37" s="8">
        <f t="shared" si="0"/>
        <v>-2.187068014738208E-3</v>
      </c>
      <c r="Q37" s="6">
        <v>45966</v>
      </c>
      <c r="R37" s="7">
        <v>67.87</v>
      </c>
      <c r="S37" s="8">
        <f t="shared" si="1"/>
        <v>1.4843674649779766E-2</v>
      </c>
      <c r="U37" s="6">
        <v>45966</v>
      </c>
      <c r="V37" s="46">
        <v>6796.29</v>
      </c>
      <c r="W37" s="8">
        <f t="shared" si="5"/>
        <v>3.6468630849652776E-3</v>
      </c>
      <c r="Y37" s="6">
        <v>45966</v>
      </c>
      <c r="Z37" s="31">
        <f t="shared" si="6"/>
        <v>95562.030000000013</v>
      </c>
      <c r="AA37" s="8">
        <f t="shared" si="7"/>
        <v>-1.3614340084881172E-3</v>
      </c>
      <c r="AF37" s="6">
        <v>45966</v>
      </c>
      <c r="AG37" s="47">
        <v>1.4999999999999999E-4</v>
      </c>
    </row>
    <row r="38" spans="1:33">
      <c r="A38" s="6">
        <v>45967</v>
      </c>
      <c r="B38" s="7">
        <v>497.1</v>
      </c>
      <c r="C38" s="8">
        <f t="shared" si="2"/>
        <v>-2.0035322559120352E-2</v>
      </c>
      <c r="E38" s="6">
        <v>45967</v>
      </c>
      <c r="F38" s="7">
        <v>188.08</v>
      </c>
      <c r="G38" s="8">
        <f t="shared" si="3"/>
        <v>-3.7208497943188312E-2</v>
      </c>
      <c r="I38" s="6">
        <v>45967</v>
      </c>
      <c r="J38" s="7">
        <v>146.13</v>
      </c>
      <c r="K38" s="8">
        <f t="shared" si="4"/>
        <v>2.3294063698305204E-3</v>
      </c>
      <c r="M38" s="6">
        <v>45967</v>
      </c>
      <c r="N38" s="7">
        <v>69.06</v>
      </c>
      <c r="O38" s="8">
        <f t="shared" si="0"/>
        <v>7.9959719470386256E-3</v>
      </c>
      <c r="Q38" s="6">
        <v>45967</v>
      </c>
      <c r="R38" s="7">
        <v>66.31</v>
      </c>
      <c r="S38" s="8">
        <f t="shared" si="1"/>
        <v>-2.3253395334890774E-2</v>
      </c>
      <c r="U38" s="6">
        <v>45967</v>
      </c>
      <c r="V38" s="46">
        <v>6720.32</v>
      </c>
      <c r="W38" s="8">
        <f t="shared" si="5"/>
        <v>-1.1241102610422679E-2</v>
      </c>
      <c r="Y38" s="6">
        <v>45967</v>
      </c>
      <c r="Z38" s="31">
        <f t="shared" si="6"/>
        <v>94580.200000000012</v>
      </c>
      <c r="AA38" s="8">
        <f t="shared" si="7"/>
        <v>-1.0327413604503366E-2</v>
      </c>
      <c r="AF38" s="6">
        <v>45967</v>
      </c>
      <c r="AG38" s="47">
        <v>1.4899999999999999E-4</v>
      </c>
    </row>
    <row r="39" spans="1:33">
      <c r="A39" s="6">
        <v>45968</v>
      </c>
      <c r="B39" s="7">
        <v>496.82</v>
      </c>
      <c r="C39" s="8">
        <f t="shared" si="2"/>
        <v>-5.6342564272209299E-4</v>
      </c>
      <c r="E39" s="6">
        <v>45968</v>
      </c>
      <c r="F39" s="7">
        <v>188.15</v>
      </c>
      <c r="G39" s="8">
        <f t="shared" si="3"/>
        <v>3.7211280763218863E-4</v>
      </c>
      <c r="I39" s="6">
        <v>45968</v>
      </c>
      <c r="J39" s="7">
        <v>146.97999999999999</v>
      </c>
      <c r="K39" s="8">
        <f t="shared" si="4"/>
        <v>5.7998866141642097E-3</v>
      </c>
      <c r="M39" s="6">
        <v>45968</v>
      </c>
      <c r="N39" s="7">
        <v>70.55</v>
      </c>
      <c r="O39" s="8">
        <f t="shared" si="0"/>
        <v>2.1345986336976604E-2</v>
      </c>
      <c r="Q39" s="6">
        <v>45968</v>
      </c>
      <c r="R39" s="7">
        <v>69.73</v>
      </c>
      <c r="S39" s="8">
        <f t="shared" si="1"/>
        <v>5.0289925852143223E-2</v>
      </c>
      <c r="U39" s="6">
        <v>45968</v>
      </c>
      <c r="V39" s="46">
        <v>6728.8</v>
      </c>
      <c r="W39" s="8">
        <f t="shared" si="5"/>
        <v>1.2610492171643028E-3</v>
      </c>
      <c r="Y39" s="6">
        <v>45968</v>
      </c>
      <c r="Z39" s="31">
        <f t="shared" si="6"/>
        <v>95384.02</v>
      </c>
      <c r="AA39" s="8">
        <f t="shared" si="7"/>
        <v>8.4629073571182798E-3</v>
      </c>
      <c r="AF39" s="6">
        <v>45968</v>
      </c>
      <c r="AG39" s="47">
        <v>1.4899999999999999E-4</v>
      </c>
    </row>
    <row r="40" spans="1:33">
      <c r="A40" s="6">
        <v>45971</v>
      </c>
      <c r="B40" s="7">
        <v>506</v>
      </c>
      <c r="C40" s="8">
        <f t="shared" si="2"/>
        <v>1.8308881829560569E-2</v>
      </c>
      <c r="E40" s="6">
        <v>45971</v>
      </c>
      <c r="F40" s="7">
        <v>199.05</v>
      </c>
      <c r="G40" s="8">
        <f t="shared" si="3"/>
        <v>5.6316532406880018E-2</v>
      </c>
      <c r="I40" s="6">
        <v>45971</v>
      </c>
      <c r="J40" s="7">
        <v>145.5</v>
      </c>
      <c r="K40" s="8">
        <f t="shared" si="4"/>
        <v>-1.0120436489177912E-2</v>
      </c>
      <c r="M40" s="6">
        <v>45971</v>
      </c>
      <c r="N40" s="7">
        <v>70.52</v>
      </c>
      <c r="O40" s="8">
        <f t="shared" si="0"/>
        <v>-4.2532076915359756E-4</v>
      </c>
      <c r="Q40" s="6">
        <v>45971</v>
      </c>
      <c r="R40" s="7">
        <v>70.03</v>
      </c>
      <c r="S40" s="8">
        <f t="shared" si="1"/>
        <v>4.2930804345069897E-3</v>
      </c>
      <c r="U40" s="6">
        <v>45971</v>
      </c>
      <c r="V40" s="46">
        <v>6832.43</v>
      </c>
      <c r="W40" s="8">
        <f t="shared" si="5"/>
        <v>1.5283571949665772E-2</v>
      </c>
      <c r="Y40" s="6">
        <v>45971</v>
      </c>
      <c r="Z40" s="31">
        <f t="shared" si="6"/>
        <v>95815.47</v>
      </c>
      <c r="AA40" s="8">
        <f t="shared" si="7"/>
        <v>4.5130950120754031E-3</v>
      </c>
      <c r="AF40" s="6">
        <v>45971</v>
      </c>
      <c r="AG40" s="47">
        <v>1.4999999999999999E-4</v>
      </c>
    </row>
    <row r="41" spans="1:33">
      <c r="A41" s="6">
        <v>45972</v>
      </c>
      <c r="B41" s="7">
        <v>508.68</v>
      </c>
      <c r="C41" s="8">
        <f t="shared" si="2"/>
        <v>5.2824658650805871E-3</v>
      </c>
      <c r="E41" s="6">
        <v>45972</v>
      </c>
      <c r="F41" s="7">
        <v>193.16</v>
      </c>
      <c r="G41" s="8">
        <f t="shared" si="3"/>
        <v>-3.003718844098513E-2</v>
      </c>
      <c r="I41" s="6">
        <v>45972</v>
      </c>
      <c r="J41" s="7">
        <v>148.54</v>
      </c>
      <c r="K41" s="8">
        <f t="shared" si="4"/>
        <v>2.0678195629603019E-2</v>
      </c>
      <c r="M41" s="6">
        <v>45972</v>
      </c>
      <c r="N41" s="7">
        <v>71.61</v>
      </c>
      <c r="O41" s="8">
        <f t="shared" si="0"/>
        <v>1.5338371489179005E-2</v>
      </c>
      <c r="Q41" s="6">
        <v>45972</v>
      </c>
      <c r="R41" s="7">
        <v>71.91</v>
      </c>
      <c r="S41" s="8">
        <f t="shared" si="1"/>
        <v>2.6491615446976285E-2</v>
      </c>
      <c r="U41" s="6">
        <v>45972</v>
      </c>
      <c r="V41" s="46">
        <v>6846.61</v>
      </c>
      <c r="W41" s="8">
        <f t="shared" si="5"/>
        <v>2.0732456487022851E-3</v>
      </c>
      <c r="Y41" s="6">
        <v>45972</v>
      </c>
      <c r="Z41" s="31">
        <f t="shared" si="6"/>
        <v>97761.53</v>
      </c>
      <c r="AA41" s="8">
        <f t="shared" si="7"/>
        <v>2.0106991678991309E-2</v>
      </c>
      <c r="AF41" s="6">
        <v>45972</v>
      </c>
      <c r="AG41" s="47">
        <v>1.4999999999999999E-4</v>
      </c>
    </row>
    <row r="42" spans="1:33">
      <c r="A42" s="6">
        <v>45973</v>
      </c>
      <c r="B42" s="7">
        <v>511.14</v>
      </c>
      <c r="C42" s="8">
        <f t="shared" si="2"/>
        <v>4.8243901302579498E-3</v>
      </c>
      <c r="E42" s="6">
        <v>45973</v>
      </c>
      <c r="F42" s="7">
        <v>193.8</v>
      </c>
      <c r="G42" s="8">
        <f t="shared" si="3"/>
        <v>3.3078384513247692E-3</v>
      </c>
      <c r="I42" s="6">
        <v>45973</v>
      </c>
      <c r="J42" s="7">
        <v>148.01</v>
      </c>
      <c r="K42" s="8">
        <f t="shared" si="4"/>
        <v>-3.574443192053025E-3</v>
      </c>
      <c r="M42" s="6">
        <v>45973</v>
      </c>
      <c r="N42" s="7">
        <v>71.510000000000005</v>
      </c>
      <c r="O42" s="8">
        <f t="shared" si="0"/>
        <v>-1.3974289585438032E-3</v>
      </c>
      <c r="Q42" s="6">
        <v>45973</v>
      </c>
      <c r="R42" s="7">
        <v>70.48</v>
      </c>
      <c r="S42" s="8">
        <f t="shared" si="1"/>
        <v>-2.0086355486478503E-2</v>
      </c>
      <c r="U42" s="6">
        <v>45973</v>
      </c>
      <c r="V42" s="46">
        <v>6850.92</v>
      </c>
      <c r="W42" s="8">
        <f t="shared" si="5"/>
        <v>6.2931056069833119E-4</v>
      </c>
      <c r="Y42" s="6">
        <v>45973</v>
      </c>
      <c r="Z42" s="31">
        <f t="shared" si="6"/>
        <v>98244.06</v>
      </c>
      <c r="AA42" s="8">
        <f t="shared" si="7"/>
        <v>4.9236450327962838E-3</v>
      </c>
      <c r="AF42" s="6">
        <v>45973</v>
      </c>
      <c r="AG42" s="47">
        <v>1.4999999999999999E-4</v>
      </c>
    </row>
    <row r="43" spans="1:33">
      <c r="A43" s="6">
        <v>45974</v>
      </c>
      <c r="B43" s="7">
        <v>503.29</v>
      </c>
      <c r="C43" s="8">
        <f t="shared" si="2"/>
        <v>-1.5476980563366001E-2</v>
      </c>
      <c r="E43" s="6">
        <v>45974</v>
      </c>
      <c r="F43" s="7">
        <v>186.86</v>
      </c>
      <c r="G43" s="8">
        <f t="shared" si="3"/>
        <v>-3.6467026091856238E-2</v>
      </c>
      <c r="I43" s="6">
        <v>45974</v>
      </c>
      <c r="J43" s="7">
        <v>147.96</v>
      </c>
      <c r="K43" s="8">
        <f t="shared" si="4"/>
        <v>-3.3787208484403649E-4</v>
      </c>
      <c r="M43" s="6">
        <v>45974</v>
      </c>
      <c r="N43" s="7">
        <v>71.069999999999993</v>
      </c>
      <c r="O43" s="8">
        <f t="shared" si="0"/>
        <v>-6.1719932215010195E-3</v>
      </c>
      <c r="Q43" s="6">
        <v>45974</v>
      </c>
      <c r="R43" s="7">
        <v>71.08</v>
      </c>
      <c r="S43" s="8">
        <f t="shared" si="1"/>
        <v>8.4770216585265019E-3</v>
      </c>
      <c r="U43" s="6">
        <v>45974</v>
      </c>
      <c r="V43" s="46">
        <v>6737.49</v>
      </c>
      <c r="W43" s="8">
        <f t="shared" si="5"/>
        <v>-1.6695497821198804E-2</v>
      </c>
      <c r="Y43" s="6">
        <v>45974</v>
      </c>
      <c r="Z43" s="31">
        <f t="shared" si="6"/>
        <v>97806.900000000009</v>
      </c>
      <c r="AA43" s="8">
        <f t="shared" si="7"/>
        <v>-4.4596642071186385E-3</v>
      </c>
      <c r="AF43" s="6">
        <v>45974</v>
      </c>
      <c r="AG43" s="47">
        <v>1.4999999999999999E-4</v>
      </c>
    </row>
    <row r="44" spans="1:33">
      <c r="A44" s="6">
        <v>45975</v>
      </c>
      <c r="B44" s="7">
        <v>510.18</v>
      </c>
      <c r="C44" s="8">
        <f t="shared" si="2"/>
        <v>1.3597059906317998E-2</v>
      </c>
      <c r="E44" s="6">
        <v>45975</v>
      </c>
      <c r="F44" s="7">
        <v>190.17</v>
      </c>
      <c r="G44" s="8">
        <f t="shared" si="3"/>
        <v>1.7558735599375073E-2</v>
      </c>
      <c r="I44" s="6">
        <v>45975</v>
      </c>
      <c r="J44" s="7">
        <v>147.66999999999999</v>
      </c>
      <c r="K44" s="8">
        <f t="shared" si="4"/>
        <v>-1.961912478570838E-3</v>
      </c>
      <c r="M44" s="6">
        <v>45975</v>
      </c>
      <c r="N44" s="7">
        <v>71.16</v>
      </c>
      <c r="O44" s="8">
        <f t="shared" si="0"/>
        <v>1.265555958830667E-3</v>
      </c>
      <c r="Q44" s="6">
        <v>45975</v>
      </c>
      <c r="R44" s="7">
        <v>71.31</v>
      </c>
      <c r="S44" s="8">
        <f t="shared" si="1"/>
        <v>3.2305667537616697E-3</v>
      </c>
      <c r="U44" s="6">
        <v>45975</v>
      </c>
      <c r="V44" s="46">
        <v>6734.11</v>
      </c>
      <c r="W44" s="8">
        <f t="shared" si="5"/>
        <v>-5.0179638215562831E-4</v>
      </c>
      <c r="Y44" s="6">
        <v>45975</v>
      </c>
      <c r="Z44" s="31">
        <f t="shared" si="6"/>
        <v>98143.59</v>
      </c>
      <c r="AA44" s="8">
        <f t="shared" si="7"/>
        <v>3.4364836887391084E-3</v>
      </c>
      <c r="AF44" s="6">
        <v>45975</v>
      </c>
      <c r="AG44" s="47">
        <v>1.4999999999999999E-4</v>
      </c>
    </row>
    <row r="45" spans="1:33">
      <c r="A45" s="6">
        <v>45978</v>
      </c>
      <c r="B45" s="7">
        <v>507.49</v>
      </c>
      <c r="C45" s="8">
        <f t="shared" si="2"/>
        <v>-5.2865983374461231E-3</v>
      </c>
      <c r="E45" s="6">
        <v>45978</v>
      </c>
      <c r="F45" s="7">
        <v>186.6</v>
      </c>
      <c r="G45" s="8">
        <f t="shared" si="3"/>
        <v>-1.8951120550941194E-2</v>
      </c>
      <c r="I45" s="6">
        <v>45978</v>
      </c>
      <c r="J45" s="7">
        <v>145.82</v>
      </c>
      <c r="K45" s="8">
        <f t="shared" si="4"/>
        <v>-1.2607070107398326E-2</v>
      </c>
      <c r="M45" s="6">
        <v>45978</v>
      </c>
      <c r="N45" s="42">
        <v>70.680000000000007</v>
      </c>
      <c r="O45" s="8">
        <f t="shared" si="0"/>
        <v>-6.7682153461386275E-3</v>
      </c>
      <c r="Q45" s="6">
        <v>45978</v>
      </c>
      <c r="R45" s="7">
        <v>71.84</v>
      </c>
      <c r="S45" s="8">
        <f t="shared" si="1"/>
        <v>7.4048539537318317E-3</v>
      </c>
      <c r="U45" s="6">
        <v>45978</v>
      </c>
      <c r="V45" s="46">
        <v>6672.41</v>
      </c>
      <c r="W45" s="8">
        <f t="shared" si="5"/>
        <v>-9.2045416140541063E-3</v>
      </c>
      <c r="Y45" s="6">
        <v>45978</v>
      </c>
      <c r="Z45" s="31">
        <f t="shared" si="6"/>
        <v>98047.010000000009</v>
      </c>
      <c r="AA45" s="8">
        <f t="shared" si="7"/>
        <v>-9.8455285626933568E-4</v>
      </c>
      <c r="AF45" s="6">
        <v>45978</v>
      </c>
      <c r="AG45" s="47">
        <v>1.4999999999999999E-4</v>
      </c>
    </row>
    <row r="46" spans="1:33">
      <c r="A46" s="6">
        <v>45979</v>
      </c>
      <c r="B46" s="7">
        <v>493.79</v>
      </c>
      <c r="C46" s="8">
        <f t="shared" si="2"/>
        <v>-2.73666806960986E-2</v>
      </c>
      <c r="E46" s="6">
        <v>45979</v>
      </c>
      <c r="F46" s="7">
        <v>181.36</v>
      </c>
      <c r="G46" s="8">
        <f t="shared" si="3"/>
        <v>-2.848328221396982E-2</v>
      </c>
      <c r="I46" s="6">
        <v>45979</v>
      </c>
      <c r="J46" s="7">
        <v>146.99</v>
      </c>
      <c r="K46" s="8">
        <f t="shared" si="4"/>
        <v>7.9915728756121719E-3</v>
      </c>
      <c r="M46" s="6">
        <v>45979</v>
      </c>
      <c r="N46" s="42">
        <v>71.22</v>
      </c>
      <c r="O46" s="8">
        <f>LN(N46/N45)</f>
        <v>7.6110303981358181E-3</v>
      </c>
      <c r="Q46" s="6">
        <v>45979</v>
      </c>
      <c r="R46" s="7">
        <v>72.900000000000006</v>
      </c>
      <c r="S46" s="8">
        <f t="shared" si="1"/>
        <v>1.4647215020668262E-2</v>
      </c>
      <c r="U46" s="6">
        <v>45979</v>
      </c>
      <c r="V46" s="46">
        <v>6617.32</v>
      </c>
      <c r="W46" s="8">
        <f t="shared" si="5"/>
        <v>-8.290659863030455E-3</v>
      </c>
      <c r="Y46" s="6">
        <v>45979</v>
      </c>
      <c r="Z46" s="31">
        <f t="shared" si="6"/>
        <v>97849.840000000011</v>
      </c>
      <c r="AA46" s="8">
        <f t="shared" si="7"/>
        <v>-2.0129988468975714E-3</v>
      </c>
      <c r="AF46" s="6">
        <v>45979</v>
      </c>
      <c r="AG46" s="47">
        <v>1.4999999999999999E-4</v>
      </c>
    </row>
    <row r="47" spans="1:33">
      <c r="A47" s="6">
        <v>45980</v>
      </c>
      <c r="B47" s="7">
        <v>487.12</v>
      </c>
      <c r="C47" s="8">
        <f t="shared" si="2"/>
        <v>-1.359982629189267E-2</v>
      </c>
      <c r="E47" s="6">
        <v>45980</v>
      </c>
      <c r="F47" s="7">
        <v>186.52</v>
      </c>
      <c r="G47" s="8">
        <f t="shared" si="3"/>
        <v>2.8054465740846562E-2</v>
      </c>
      <c r="I47" s="6">
        <v>45980</v>
      </c>
      <c r="J47" s="7">
        <v>146.99</v>
      </c>
      <c r="K47" s="8">
        <f t="shared" si="4"/>
        <v>0</v>
      </c>
      <c r="M47" s="6">
        <v>45980</v>
      </c>
      <c r="N47" s="42">
        <v>71.11</v>
      </c>
      <c r="O47" s="8">
        <f t="shared" si="0"/>
        <v>-1.5457039542051154E-3</v>
      </c>
      <c r="Q47" s="6">
        <v>45980</v>
      </c>
      <c r="R47" s="7">
        <v>72.3</v>
      </c>
      <c r="S47" s="8">
        <f t="shared" si="1"/>
        <v>-8.2645098498935355E-3</v>
      </c>
      <c r="U47" s="6">
        <v>45980</v>
      </c>
      <c r="V47" s="46">
        <v>6642.16</v>
      </c>
      <c r="W47" s="8">
        <f t="shared" si="5"/>
        <v>3.7467576494783256E-3</v>
      </c>
      <c r="Y47" s="6">
        <v>45980</v>
      </c>
      <c r="Z47" s="31">
        <f t="shared" si="6"/>
        <v>97812.290000000008</v>
      </c>
      <c r="AA47" s="8">
        <f t="shared" si="7"/>
        <v>-3.8382491758622082E-4</v>
      </c>
      <c r="AF47" s="6">
        <v>45980</v>
      </c>
      <c r="AG47" s="47">
        <v>1.4999999999999999E-4</v>
      </c>
    </row>
    <row r="48" spans="1:33">
      <c r="A48" s="6">
        <v>45981</v>
      </c>
      <c r="B48" s="7">
        <v>478.43</v>
      </c>
      <c r="C48" s="8">
        <f t="shared" si="2"/>
        <v>-1.8000589599925308E-2</v>
      </c>
      <c r="E48" s="6">
        <v>45981</v>
      </c>
      <c r="F48" s="7">
        <v>180.64</v>
      </c>
      <c r="G48" s="8">
        <f t="shared" si="3"/>
        <v>-3.2032371538768305E-2</v>
      </c>
      <c r="I48" s="6">
        <v>45981</v>
      </c>
      <c r="J48" s="7">
        <v>148.19</v>
      </c>
      <c r="K48" s="8">
        <f t="shared" si="4"/>
        <v>8.13067694819067E-3</v>
      </c>
      <c r="M48" s="6">
        <v>45981</v>
      </c>
      <c r="N48" s="42">
        <v>71.209999999999994</v>
      </c>
      <c r="O48" s="8">
        <f t="shared" si="0"/>
        <v>1.4052840986067123E-3</v>
      </c>
      <c r="Q48" s="6">
        <v>45981</v>
      </c>
      <c r="R48" s="7">
        <v>72.22</v>
      </c>
      <c r="S48" s="8">
        <f t="shared" si="1"/>
        <v>-1.1071133154073093E-3</v>
      </c>
      <c r="U48" s="6">
        <v>45981</v>
      </c>
      <c r="V48" s="46">
        <v>6538.76</v>
      </c>
      <c r="W48" s="8">
        <f t="shared" si="5"/>
        <v>-1.5689666748388537E-2</v>
      </c>
      <c r="Y48" s="6">
        <v>45981</v>
      </c>
      <c r="Z48" s="31">
        <f t="shared" si="6"/>
        <v>96904.819999999992</v>
      </c>
      <c r="AA48" s="8">
        <f t="shared" si="7"/>
        <v>-9.3209741056193805E-3</v>
      </c>
      <c r="AF48" s="6">
        <v>45981</v>
      </c>
      <c r="AG48" s="47">
        <v>1.4999999999999999E-4</v>
      </c>
    </row>
    <row r="49" spans="1:33">
      <c r="A49" s="1" t="s">
        <v>12</v>
      </c>
      <c r="B49" s="9" t="s">
        <v>3</v>
      </c>
      <c r="C49" s="2">
        <f>AVERAGEA(C3:C48)</f>
        <v>-1.3900006725073466E-3</v>
      </c>
      <c r="E49" s="1" t="s">
        <v>27</v>
      </c>
      <c r="F49" s="1" t="s">
        <v>3</v>
      </c>
      <c r="G49" s="2">
        <f>AVERAGEA(G3:G48)</f>
        <v>1.2826790078878005E-3</v>
      </c>
      <c r="I49" s="1" t="s">
        <v>29</v>
      </c>
      <c r="J49" s="1" t="s">
        <v>3</v>
      </c>
      <c r="K49" s="2">
        <f>AVERAGEA(K3:K48)</f>
        <v>-1.7117164564925905E-3</v>
      </c>
      <c r="M49" s="1" t="s">
        <v>31</v>
      </c>
      <c r="N49" s="1" t="s">
        <v>3</v>
      </c>
      <c r="O49" s="2">
        <f>AVERAGEA(O3:O48)</f>
        <v>1.3118217787001138E-3</v>
      </c>
      <c r="Q49" s="1" t="s">
        <v>33</v>
      </c>
      <c r="R49" s="1" t="s">
        <v>3</v>
      </c>
      <c r="S49" s="2">
        <f>AVERAGEA(S3:S48)</f>
        <v>1.7872687287953182E-3</v>
      </c>
      <c r="U49" t="s">
        <v>4</v>
      </c>
      <c r="V49" s="14" t="s">
        <v>3</v>
      </c>
      <c r="W49" s="13">
        <f>AVERAGE(W3:W48)</f>
        <v>-2.0380723659881126E-4</v>
      </c>
      <c r="Z49" s="14" t="s">
        <v>3</v>
      </c>
      <c r="AA49" s="13">
        <f>AVERAGE(AA3:AA48)</f>
        <v>-2.4951034997619807E-4</v>
      </c>
      <c r="AF49" t="s">
        <v>3</v>
      </c>
      <c r="AG49" s="48">
        <f>AVERAGE(AG2:AG48)</f>
        <v>1.5125531914893611E-4</v>
      </c>
    </row>
    <row r="50" spans="1:33">
      <c r="B50" s="1" t="s">
        <v>13</v>
      </c>
      <c r="C50" s="2">
        <f>_xlfn.STDEV.S(C3:C48)</f>
        <v>1.1883725184769264E-2</v>
      </c>
      <c r="F50" s="1" t="s">
        <v>13</v>
      </c>
      <c r="G50" s="2">
        <f>_xlfn.STDEV.S(G3:G48)</f>
        <v>2.5274547742383701E-2</v>
      </c>
      <c r="J50" s="1" t="s">
        <v>13</v>
      </c>
      <c r="K50" s="2">
        <f>_xlfn.STDEV.S(K3:K48)</f>
        <v>9.1519399970680562E-3</v>
      </c>
      <c r="N50" s="1" t="s">
        <v>13</v>
      </c>
      <c r="O50" s="2">
        <f>_xlfn.STDEV.S(O3:O48)</f>
        <v>1.0508532011816604E-2</v>
      </c>
      <c r="R50" s="1" t="s">
        <v>13</v>
      </c>
      <c r="S50" s="2">
        <f>_xlfn.STDEV.S(S3:S48)</f>
        <v>1.5824552679855049E-2</v>
      </c>
      <c r="V50" s="1" t="s">
        <v>13</v>
      </c>
      <c r="W50" s="2">
        <f>_xlfn.STDEV.S(W3:W48)</f>
        <v>8.2465423451551483E-3</v>
      </c>
      <c r="Z50" s="1" t="s">
        <v>13</v>
      </c>
      <c r="AA50" s="2">
        <f>_xlfn.STDEV.S(AA3:AA48)</f>
        <v>6.4256581820933256E-3</v>
      </c>
      <c r="AF50" s="1" t="s">
        <v>13</v>
      </c>
      <c r="AG50" s="49">
        <f>_xlfn.STDEV.S(AG2:AG48)</f>
        <v>1.9050058211297991E-6</v>
      </c>
    </row>
    <row r="51" spans="1:33">
      <c r="B51" t="s">
        <v>5</v>
      </c>
      <c r="C51" s="16">
        <f>_xlfn.COVARIANCE.S(C3:C48,W3:W48)</f>
        <v>6.5436590858255879E-5</v>
      </c>
      <c r="F51" t="s">
        <v>5</v>
      </c>
      <c r="G51" s="16">
        <f>_xlfn.COVARIANCE.S(G3:G48,W3:W48)</f>
        <v>1.502209932980092E-4</v>
      </c>
      <c r="J51" t="s">
        <v>5</v>
      </c>
      <c r="K51" s="16">
        <f>_xlfn.COVARIANCE.S(K3:K48,W3:W48)</f>
        <v>-1.6782593578245851E-5</v>
      </c>
      <c r="M51" s="16"/>
      <c r="N51" s="16" t="s">
        <v>5</v>
      </c>
      <c r="O51" s="16">
        <f>_xlfn.COVARIANCE.S(O3:O48,W3:W48)</f>
        <v>-1.6070940956246711E-5</v>
      </c>
      <c r="R51" t="s">
        <v>5</v>
      </c>
      <c r="S51" s="16">
        <f>_xlfn.COVARIANCE.S(S3:S48,W3:W48)</f>
        <v>-2.4568344802855798E-5</v>
      </c>
      <c r="V51" s="14" t="s">
        <v>5</v>
      </c>
      <c r="W51" s="16">
        <f>_xlfn.COVARIANCE.S(W3:W48,W3:W48)</f>
        <v>6.8005460650436968E-5</v>
      </c>
      <c r="Z51" s="14" t="s">
        <v>5</v>
      </c>
      <c r="AA51" s="16">
        <f>_xlfn.COVARIANCE.S(W3:W48,AA3:AA48)</f>
        <v>2.3177351720939244E-5</v>
      </c>
    </row>
    <row r="52" spans="1:33">
      <c r="B52" t="s">
        <v>6</v>
      </c>
      <c r="C52" s="16">
        <f>_xlfn.VAR.S(C3:C48)</f>
        <v>1.4122292426711929E-4</v>
      </c>
      <c r="F52" t="s">
        <v>6</v>
      </c>
      <c r="G52" s="16">
        <f>_xlfn.VAR.S(G3:G48)</f>
        <v>6.3880276358203305E-4</v>
      </c>
      <c r="J52" t="s">
        <v>6</v>
      </c>
      <c r="K52" s="16">
        <f>_xlfn.VAR.S(K3:K48)</f>
        <v>8.3758005709934065E-5</v>
      </c>
      <c r="M52" s="16"/>
      <c r="N52" s="16" t="s">
        <v>6</v>
      </c>
      <c r="O52" s="16">
        <f>_xlfn.VAR.S(O3:O48)</f>
        <v>1.1042924504337433E-4</v>
      </c>
      <c r="R52" t="s">
        <v>6</v>
      </c>
      <c r="S52">
        <f>_xlfn.VAR.S(S3:S48)</f>
        <v>2.5041646751750761E-4</v>
      </c>
      <c r="V52" t="s">
        <v>6</v>
      </c>
      <c r="W52" s="16">
        <f>_xlfn.VAR.S(W3:W48)</f>
        <v>6.8005460650436968E-5</v>
      </c>
      <c r="Z52" t="s">
        <v>6</v>
      </c>
      <c r="AA52" s="16">
        <f>_xlfn.VAR.S(AA3:AA48)</f>
        <v>4.1289083073102898E-5</v>
      </c>
    </row>
    <row r="53" spans="1:33">
      <c r="B53" t="s">
        <v>7</v>
      </c>
      <c r="C53">
        <f>C51/W52</f>
        <v>0.96222553648470022</v>
      </c>
      <c r="F53" t="s">
        <v>7</v>
      </c>
      <c r="G53">
        <f>G51/W52</f>
        <v>2.2089548671713022</v>
      </c>
      <c r="J53" t="s">
        <v>7</v>
      </c>
      <c r="K53" s="18">
        <v>0.54</v>
      </c>
      <c r="N53" t="s">
        <v>7</v>
      </c>
      <c r="O53" s="18">
        <v>0.43</v>
      </c>
      <c r="R53" t="s">
        <v>7</v>
      </c>
      <c r="S53" s="18">
        <v>0.54</v>
      </c>
      <c r="V53" s="14" t="s">
        <v>22</v>
      </c>
      <c r="W53" s="32">
        <f>W51/W52</f>
        <v>1</v>
      </c>
      <c r="Z53" s="14" t="s">
        <v>22</v>
      </c>
      <c r="AA53" s="32">
        <f>AA51/AA52</f>
        <v>0.56134333813864112</v>
      </c>
    </row>
    <row r="54" spans="1:33">
      <c r="B54" s="18" t="s">
        <v>9</v>
      </c>
      <c r="C54" s="18">
        <f>C49-(AG49+C53*(W49-AG49))</f>
        <v>-1.1996057334662778E-3</v>
      </c>
      <c r="F54" t="s">
        <v>9</v>
      </c>
      <c r="G54" s="18">
        <f>G49-(0.02%+G53*(-0.06%-0.02%))</f>
        <v>2.8498429016248421E-3</v>
      </c>
      <c r="J54" t="s">
        <v>9</v>
      </c>
      <c r="K54" s="18">
        <f>K49-(0.02%+K53*(-0.06%-0.02%))</f>
        <v>-1.4797164564925905E-3</v>
      </c>
      <c r="N54" t="s">
        <v>9</v>
      </c>
      <c r="O54" s="18">
        <f>O49-(0.02%+O53*(-0.06%-0.02%))</f>
        <v>1.4558217787001139E-3</v>
      </c>
      <c r="R54" t="s">
        <v>9</v>
      </c>
      <c r="S54" s="18">
        <f>S49-(0.02%+S53*(-0.06%-0.02%))</f>
        <v>2.0192687287953182E-3</v>
      </c>
      <c r="V54" s="14" t="s">
        <v>23</v>
      </c>
      <c r="W54" s="18">
        <f>W49-(0.02%+W53*(-0.06%-0.02%))</f>
        <v>3.9619276340118869E-4</v>
      </c>
      <c r="Z54" s="14" t="s">
        <v>23</v>
      </c>
      <c r="AA54" s="18">
        <f>AA49-(0.02%+AA53*(-0.06%-0.02%))</f>
        <v>-4.3567946528526996E-7</v>
      </c>
    </row>
    <row r="55" spans="1:33">
      <c r="B55" t="s">
        <v>10</v>
      </c>
      <c r="C55" s="18">
        <f>(C49-0.02%)/C53</f>
        <v>-1.6524199496056799E-3</v>
      </c>
      <c r="F55" t="s">
        <v>10</v>
      </c>
      <c r="G55" s="18">
        <f>(G49-0.02%)/G53</f>
        <v>4.9013179217836857E-4</v>
      </c>
      <c r="J55" t="s">
        <v>10</v>
      </c>
      <c r="K55" s="18">
        <f>(K49-0.02%)/K53</f>
        <v>-3.5402156601714637E-3</v>
      </c>
      <c r="N55" t="s">
        <v>10</v>
      </c>
      <c r="O55" s="18">
        <f>(O49-0.02%)/O53</f>
        <v>2.5856320434886368E-3</v>
      </c>
      <c r="R55" t="s">
        <v>10</v>
      </c>
      <c r="S55" s="18">
        <f>(S49-0.02%)/S53</f>
        <v>2.9393865348061447E-3</v>
      </c>
      <c r="V55" t="s">
        <v>10</v>
      </c>
      <c r="W55" s="18">
        <f>(W49-0.02%)/W53</f>
        <v>-4.0380723659881124E-4</v>
      </c>
      <c r="Z55" t="s">
        <v>10</v>
      </c>
      <c r="AA55" s="18">
        <f>(AA49-0.02%)/AA53</f>
        <v>-8.0077613723310553E-4</v>
      </c>
    </row>
    <row r="56" spans="1:33">
      <c r="B56" t="s">
        <v>11</v>
      </c>
      <c r="C56" s="18">
        <f>(C49-0.02%)/C50</f>
        <v>-0.13379648618475001</v>
      </c>
      <c r="F56" t="s">
        <v>11</v>
      </c>
      <c r="G56" s="18">
        <f>(G49-0.02%)/G50</f>
        <v>4.2836731201809843E-2</v>
      </c>
      <c r="J56" t="s">
        <v>11</v>
      </c>
      <c r="K56" s="18">
        <f>(K49-0.02%)/K50</f>
        <v>-0.20888647184149306</v>
      </c>
      <c r="N56" t="s">
        <v>11</v>
      </c>
      <c r="O56" s="18">
        <f>(O49-0.02%)/O50</f>
        <v>0.10580181679514281</v>
      </c>
      <c r="R56" t="s">
        <v>11</v>
      </c>
      <c r="S56" s="18">
        <f>(S49-0.02%)/S50</f>
        <v>0.10030417673770588</v>
      </c>
      <c r="V56" t="s">
        <v>11</v>
      </c>
      <c r="W56" s="18">
        <f>(W49-0.02%)/W50</f>
        <v>-4.8966854191447688E-2</v>
      </c>
      <c r="Z56" t="s">
        <v>11</v>
      </c>
      <c r="AA56" s="18">
        <f>(AA49-0.02%)/AA50</f>
        <v>-6.9955534085032564E-2</v>
      </c>
    </row>
    <row r="58" spans="1:33">
      <c r="Z58" s="14"/>
    </row>
    <row r="59" spans="1:33">
      <c r="A59" s="5" t="s">
        <v>0</v>
      </c>
      <c r="B59" s="5" t="s">
        <v>1</v>
      </c>
      <c r="C59" s="5" t="s">
        <v>38</v>
      </c>
      <c r="E59" s="5" t="s">
        <v>0</v>
      </c>
      <c r="F59" s="5" t="s">
        <v>1</v>
      </c>
      <c r="G59" s="5" t="s">
        <v>40</v>
      </c>
      <c r="I59" s="5" t="s">
        <v>0</v>
      </c>
      <c r="J59" s="5" t="s">
        <v>1</v>
      </c>
      <c r="K59" s="5" t="s">
        <v>42</v>
      </c>
      <c r="M59" s="5" t="s">
        <v>0</v>
      </c>
      <c r="N59" s="5" t="s">
        <v>1</v>
      </c>
      <c r="O59" s="5" t="s">
        <v>47</v>
      </c>
      <c r="Q59" s="5" t="s">
        <v>0</v>
      </c>
      <c r="R59" s="5" t="s">
        <v>1</v>
      </c>
      <c r="S59" s="5" t="s">
        <v>36</v>
      </c>
      <c r="Z59" s="14"/>
    </row>
    <row r="60" spans="1:33">
      <c r="A60" s="10">
        <v>45917</v>
      </c>
      <c r="B60" s="7">
        <v>473.12</v>
      </c>
      <c r="C60" s="11"/>
      <c r="E60" s="6">
        <v>45917</v>
      </c>
      <c r="F60" s="7">
        <v>60.19</v>
      </c>
      <c r="G60" s="7"/>
      <c r="I60" s="10">
        <v>45917</v>
      </c>
      <c r="J60" s="7">
        <v>58.2</v>
      </c>
      <c r="K60" s="7"/>
      <c r="M60" s="45">
        <v>45917</v>
      </c>
      <c r="N60" s="7">
        <v>122.47</v>
      </c>
      <c r="O60" s="7"/>
      <c r="Q60" s="6">
        <v>45917</v>
      </c>
      <c r="R60" s="7">
        <v>189.63</v>
      </c>
      <c r="S60" s="7"/>
      <c r="Z60" s="14"/>
    </row>
    <row r="61" spans="1:33">
      <c r="A61" s="10">
        <v>45918</v>
      </c>
      <c r="B61" s="7">
        <v>473.62</v>
      </c>
      <c r="C61" s="12">
        <f t="shared" ref="C61:C106" si="8">LN(B61/B60)</f>
        <v>1.056256303708645E-3</v>
      </c>
      <c r="E61" s="6">
        <v>45918</v>
      </c>
      <c r="F61" s="7">
        <v>60.38</v>
      </c>
      <c r="G61" s="8">
        <f t="shared" ref="G61:G105" si="9">LN(F61/F60)</f>
        <v>3.1516987190134136E-3</v>
      </c>
      <c r="I61" s="10">
        <v>45918</v>
      </c>
      <c r="J61" s="7">
        <v>61.85</v>
      </c>
      <c r="K61" s="12">
        <f t="shared" ref="K61:K106" si="10">LN(J61/J60)</f>
        <v>6.0826744101104765E-2</v>
      </c>
      <c r="M61" s="45">
        <v>45918</v>
      </c>
      <c r="N61" s="7">
        <v>122.29</v>
      </c>
      <c r="O61" s="12">
        <f>LN(N61/N60)</f>
        <v>-1.4708288319173668E-3</v>
      </c>
      <c r="Q61" s="6">
        <v>45918</v>
      </c>
      <c r="R61" s="7">
        <v>187.63</v>
      </c>
      <c r="S61" s="8">
        <f t="shared" ref="S61:S106" si="11">LN(R61/R60)</f>
        <v>-1.0602866653033869E-2</v>
      </c>
      <c r="Z61" s="14"/>
    </row>
    <row r="62" spans="1:33">
      <c r="A62" s="10">
        <v>45919</v>
      </c>
      <c r="B62" s="7">
        <v>472.94</v>
      </c>
      <c r="C62" s="12">
        <f t="shared" si="8"/>
        <v>-1.4367818563628609E-3</v>
      </c>
      <c r="E62" s="6">
        <v>45919</v>
      </c>
      <c r="F62" s="7">
        <v>59.55</v>
      </c>
      <c r="G62" s="8">
        <f t="shared" si="9"/>
        <v>-1.3841628477383702E-2</v>
      </c>
      <c r="I62" s="10">
        <v>45919</v>
      </c>
      <c r="J62" s="7">
        <v>61.4</v>
      </c>
      <c r="K62" s="12">
        <f t="shared" si="10"/>
        <v>-7.3022636854002199E-3</v>
      </c>
      <c r="M62" s="45">
        <v>45919</v>
      </c>
      <c r="N62" s="7">
        <v>122.93</v>
      </c>
      <c r="O62" s="12">
        <f t="shared" ref="O62:O106" si="12">LN(N62/N61)</f>
        <v>5.2198144779711875E-3</v>
      </c>
      <c r="Q62" s="6">
        <v>45919</v>
      </c>
      <c r="R62" s="7">
        <v>188.73</v>
      </c>
      <c r="S62" s="8">
        <f t="shared" si="11"/>
        <v>5.8454837507646001E-3</v>
      </c>
      <c r="Z62" s="14"/>
    </row>
    <row r="63" spans="1:33">
      <c r="A63" s="10">
        <v>45922</v>
      </c>
      <c r="B63" s="7">
        <v>480.39</v>
      </c>
      <c r="C63" s="12">
        <f t="shared" si="8"/>
        <v>1.5629743450982024E-2</v>
      </c>
      <c r="E63" s="6">
        <v>45922</v>
      </c>
      <c r="F63" s="7">
        <v>59.78</v>
      </c>
      <c r="G63" s="8">
        <f t="shared" si="9"/>
        <v>3.8548610544826916E-3</v>
      </c>
      <c r="I63" s="10">
        <v>45922</v>
      </c>
      <c r="J63" s="7">
        <v>60.71</v>
      </c>
      <c r="K63" s="12">
        <f t="shared" si="10"/>
        <v>-1.1301406010754037E-2</v>
      </c>
      <c r="M63" s="45">
        <v>45922</v>
      </c>
      <c r="N63" s="7">
        <v>123.36</v>
      </c>
      <c r="O63" s="12">
        <f t="shared" si="12"/>
        <v>3.4918221357695882E-3</v>
      </c>
      <c r="Q63" s="6">
        <v>45922</v>
      </c>
      <c r="R63" s="7">
        <v>190.87</v>
      </c>
      <c r="S63" s="8">
        <f t="shared" si="11"/>
        <v>1.1275145791753064E-2</v>
      </c>
      <c r="Z63" s="14"/>
    </row>
    <row r="64" spans="1:33">
      <c r="A64" s="10">
        <v>45923</v>
      </c>
      <c r="B64" s="7">
        <v>486.67</v>
      </c>
      <c r="C64" s="12">
        <f t="shared" si="8"/>
        <v>1.2988001323389493E-2</v>
      </c>
      <c r="E64" s="6">
        <v>45923</v>
      </c>
      <c r="F64" s="7">
        <v>60.58</v>
      </c>
      <c r="G64" s="8">
        <f t="shared" si="9"/>
        <v>1.3293648743299457E-2</v>
      </c>
      <c r="I64" s="10">
        <v>45923</v>
      </c>
      <c r="J64" s="7">
        <v>59.54</v>
      </c>
      <c r="K64" s="12">
        <f t="shared" si="10"/>
        <v>-1.9460073554712388E-2</v>
      </c>
      <c r="M64" s="45">
        <v>45923</v>
      </c>
      <c r="N64" s="7">
        <v>122.82</v>
      </c>
      <c r="O64" s="12">
        <f t="shared" si="12"/>
        <v>-4.3870409137662936E-3</v>
      </c>
      <c r="Q64" s="6">
        <v>45923</v>
      </c>
      <c r="R64" s="7">
        <v>189.28</v>
      </c>
      <c r="S64" s="8">
        <f t="shared" si="11"/>
        <v>-8.3651678117243385E-3</v>
      </c>
      <c r="Z64" s="14"/>
    </row>
    <row r="65" spans="1:26">
      <c r="A65" s="10">
        <v>45924</v>
      </c>
      <c r="B65" s="7">
        <v>486.25</v>
      </c>
      <c r="C65" s="12">
        <f t="shared" si="8"/>
        <v>-8.633803932284734E-4</v>
      </c>
      <c r="E65" s="6">
        <v>45924</v>
      </c>
      <c r="F65" s="7">
        <v>61.45</v>
      </c>
      <c r="G65" s="8">
        <f t="shared" si="9"/>
        <v>1.4259030412952661E-2</v>
      </c>
      <c r="I65" s="10">
        <v>45924</v>
      </c>
      <c r="J65" s="7">
        <v>58.74</v>
      </c>
      <c r="K65" s="12">
        <f t="shared" si="10"/>
        <v>-1.35274298171563E-2</v>
      </c>
      <c r="M65" s="45">
        <v>45924</v>
      </c>
      <c r="N65" s="7">
        <v>123</v>
      </c>
      <c r="O65" s="12">
        <f t="shared" si="12"/>
        <v>1.4644864711644719E-3</v>
      </c>
      <c r="Q65" s="6">
        <v>45924</v>
      </c>
      <c r="R65" s="7">
        <v>189.43</v>
      </c>
      <c r="S65" s="8">
        <f t="shared" si="11"/>
        <v>7.9216291011084087E-4</v>
      </c>
      <c r="Z65" s="14"/>
    </row>
    <row r="66" spans="1:26">
      <c r="A66" s="10">
        <v>45925</v>
      </c>
      <c r="B66" s="7">
        <v>484.34</v>
      </c>
      <c r="C66" s="12">
        <f t="shared" si="8"/>
        <v>-3.9357555003004946E-3</v>
      </c>
      <c r="E66" s="6">
        <v>45925</v>
      </c>
      <c r="F66" s="7">
        <v>61.4</v>
      </c>
      <c r="G66" s="8">
        <f t="shared" si="9"/>
        <v>-8.1400085894708235E-4</v>
      </c>
      <c r="I66" s="10">
        <v>45925</v>
      </c>
      <c r="J66" s="7">
        <v>56.04</v>
      </c>
      <c r="K66" s="12">
        <f t="shared" si="10"/>
        <v>-4.7055204301667791E-2</v>
      </c>
      <c r="M66" s="45">
        <v>45925</v>
      </c>
      <c r="N66" s="7">
        <v>122.23</v>
      </c>
      <c r="O66" s="12">
        <f t="shared" si="12"/>
        <v>-6.2798395832460632E-3</v>
      </c>
      <c r="Q66" s="6">
        <v>45925</v>
      </c>
      <c r="R66" s="7">
        <v>183.84</v>
      </c>
      <c r="S66" s="8">
        <f t="shared" si="11"/>
        <v>-2.9953749039741833E-2</v>
      </c>
      <c r="Z66" s="14"/>
    </row>
    <row r="67" spans="1:26">
      <c r="A67" s="10">
        <v>45926</v>
      </c>
      <c r="B67" s="7">
        <v>487.44</v>
      </c>
      <c r="C67" s="12">
        <f t="shared" si="8"/>
        <v>6.380066507883279E-3</v>
      </c>
      <c r="E67" s="6">
        <v>45926</v>
      </c>
      <c r="F67" s="7">
        <v>62.12</v>
      </c>
      <c r="G67" s="8">
        <f t="shared" si="9"/>
        <v>1.1658163127389459E-2</v>
      </c>
      <c r="I67" s="10">
        <v>45926</v>
      </c>
      <c r="J67" s="7">
        <v>55.61</v>
      </c>
      <c r="K67" s="12">
        <f t="shared" si="10"/>
        <v>-7.7026802693336222E-3</v>
      </c>
      <c r="M67" s="45">
        <v>45926</v>
      </c>
      <c r="N67" s="7">
        <v>123.65</v>
      </c>
      <c r="O67" s="12">
        <f t="shared" si="12"/>
        <v>1.1550478178253762E-2</v>
      </c>
      <c r="Q67" s="6">
        <v>45926</v>
      </c>
      <c r="R67" s="7">
        <v>186.67</v>
      </c>
      <c r="S67" s="8">
        <f t="shared" si="11"/>
        <v>1.5276537944059795E-2</v>
      </c>
      <c r="Z67" s="14"/>
    </row>
    <row r="68" spans="1:26">
      <c r="A68" s="10">
        <v>45929</v>
      </c>
      <c r="B68" s="7">
        <v>491.98</v>
      </c>
      <c r="C68" s="12">
        <f t="shared" si="8"/>
        <v>9.2708593193149991E-3</v>
      </c>
      <c r="E68" s="6">
        <v>45929</v>
      </c>
      <c r="F68" s="7">
        <v>60.71</v>
      </c>
      <c r="G68" s="8">
        <f t="shared" si="9"/>
        <v>-2.2959569138143589E-2</v>
      </c>
      <c r="I68" s="10">
        <v>45929</v>
      </c>
      <c r="J68" s="7">
        <v>55.5</v>
      </c>
      <c r="K68" s="12">
        <f t="shared" si="10"/>
        <v>-1.980020447083757E-3</v>
      </c>
      <c r="M68" s="45">
        <v>45929</v>
      </c>
      <c r="N68" s="7">
        <v>124.1</v>
      </c>
      <c r="O68" s="12">
        <f t="shared" si="12"/>
        <v>3.6326982431362704E-3</v>
      </c>
      <c r="Q68" s="6">
        <v>45929</v>
      </c>
      <c r="R68" s="7">
        <v>182.7</v>
      </c>
      <c r="S68" s="8">
        <f t="shared" si="11"/>
        <v>-2.1496888660544469E-2</v>
      </c>
      <c r="Z68" s="14"/>
    </row>
    <row r="69" spans="1:26">
      <c r="A69" s="10">
        <v>45930</v>
      </c>
      <c r="B69" s="7">
        <v>499.21</v>
      </c>
      <c r="C69" s="12">
        <f t="shared" si="8"/>
        <v>1.4588783646307215E-2</v>
      </c>
      <c r="E69" s="6">
        <v>45930</v>
      </c>
      <c r="F69" s="7">
        <v>59.69</v>
      </c>
      <c r="G69" s="8">
        <f t="shared" si="9"/>
        <v>-1.6943926961784272E-2</v>
      </c>
      <c r="I69" s="10">
        <v>45930</v>
      </c>
      <c r="J69" s="7">
        <v>55.49</v>
      </c>
      <c r="K69" s="12">
        <f t="shared" si="10"/>
        <v>-1.8019641457895044E-4</v>
      </c>
      <c r="M69" s="45">
        <v>45930</v>
      </c>
      <c r="N69" s="7">
        <v>128.24</v>
      </c>
      <c r="O69" s="12">
        <f t="shared" si="12"/>
        <v>3.2815816090736201E-2</v>
      </c>
      <c r="Q69" s="6">
        <v>45930</v>
      </c>
      <c r="R69" s="7">
        <v>185.62</v>
      </c>
      <c r="S69" s="8">
        <f t="shared" si="11"/>
        <v>1.5856109783285888E-2</v>
      </c>
      <c r="Z69" s="14"/>
    </row>
    <row r="70" spans="1:26">
      <c r="A70" s="10">
        <v>45931</v>
      </c>
      <c r="B70" s="7">
        <v>499</v>
      </c>
      <c r="C70" s="12">
        <f t="shared" si="8"/>
        <v>-4.2075315434243179E-4</v>
      </c>
      <c r="E70" s="6">
        <v>45931</v>
      </c>
      <c r="F70" s="7">
        <v>60.46</v>
      </c>
      <c r="G70" s="8">
        <f t="shared" si="9"/>
        <v>1.2817487170753601E-2</v>
      </c>
      <c r="I70" s="10">
        <v>45931</v>
      </c>
      <c r="J70" s="7">
        <v>59.17</v>
      </c>
      <c r="K70" s="12">
        <f t="shared" si="10"/>
        <v>6.4211832350792739E-2</v>
      </c>
      <c r="M70" s="45">
        <v>45931</v>
      </c>
      <c r="N70" s="7">
        <v>131.72</v>
      </c>
      <c r="O70" s="12">
        <f t="shared" si="12"/>
        <v>2.6774949206865965E-2</v>
      </c>
      <c r="Q70" s="6">
        <v>45931</v>
      </c>
      <c r="R70" s="7">
        <v>187.39</v>
      </c>
      <c r="S70" s="8">
        <f t="shared" si="11"/>
        <v>9.4904334203275414E-3</v>
      </c>
      <c r="Z70" s="14"/>
    </row>
    <row r="71" spans="1:26">
      <c r="A71" s="10">
        <v>45932</v>
      </c>
      <c r="B71" s="7">
        <v>499.36</v>
      </c>
      <c r="C71" s="12">
        <f t="shared" si="8"/>
        <v>7.2118277095067473E-4</v>
      </c>
      <c r="E71" s="6">
        <v>45932</v>
      </c>
      <c r="F71" s="7">
        <v>59.48</v>
      </c>
      <c r="G71" s="8">
        <f t="shared" si="9"/>
        <v>-1.6341867759357739E-2</v>
      </c>
      <c r="I71" s="10">
        <v>45932</v>
      </c>
      <c r="J71" s="7">
        <v>58.74</v>
      </c>
      <c r="K71" s="12">
        <f t="shared" si="10"/>
        <v>-7.2937309181287354E-3</v>
      </c>
      <c r="M71" s="45">
        <v>45932</v>
      </c>
      <c r="N71" s="7">
        <v>130.97</v>
      </c>
      <c r="O71" s="12">
        <f t="shared" si="12"/>
        <v>-5.7101681668520112E-3</v>
      </c>
      <c r="Q71" s="6">
        <v>45932</v>
      </c>
      <c r="R71" s="7">
        <v>187.57</v>
      </c>
      <c r="S71" s="8">
        <f t="shared" si="11"/>
        <v>9.6010248467551533E-4</v>
      </c>
      <c r="Z71" s="14"/>
    </row>
    <row r="72" spans="1:26">
      <c r="A72" s="10">
        <v>45933</v>
      </c>
      <c r="B72" s="7">
        <v>504.49</v>
      </c>
      <c r="C72" s="12">
        <f t="shared" si="8"/>
        <v>1.0220739469193579E-2</v>
      </c>
      <c r="E72" s="6">
        <v>45933</v>
      </c>
      <c r="F72" s="7">
        <v>59.71</v>
      </c>
      <c r="G72" s="8">
        <f t="shared" si="9"/>
        <v>3.8593889669467757E-3</v>
      </c>
      <c r="I72" s="10">
        <v>45933</v>
      </c>
      <c r="J72" s="7">
        <v>59.63</v>
      </c>
      <c r="K72" s="12">
        <f t="shared" si="10"/>
        <v>1.5037877364540502E-2</v>
      </c>
      <c r="M72" s="45">
        <v>45933</v>
      </c>
      <c r="N72" s="7">
        <v>132.38999999999999</v>
      </c>
      <c r="O72" s="12">
        <f t="shared" si="12"/>
        <v>1.0783822608253845E-2</v>
      </c>
      <c r="Q72" s="6">
        <v>45933</v>
      </c>
      <c r="R72" s="7">
        <v>193.64</v>
      </c>
      <c r="S72" s="8">
        <f t="shared" si="11"/>
        <v>3.1848655999243615E-2</v>
      </c>
      <c r="Z72" s="14"/>
    </row>
    <row r="73" spans="1:26">
      <c r="A73" s="10">
        <v>45936</v>
      </c>
      <c r="B73" s="7">
        <v>514.24</v>
      </c>
      <c r="C73" s="12">
        <f t="shared" si="8"/>
        <v>1.9142064557484833E-2</v>
      </c>
      <c r="E73" s="6">
        <v>45936</v>
      </c>
      <c r="F73" s="7">
        <v>59.78</v>
      </c>
      <c r="G73" s="8">
        <f t="shared" si="9"/>
        <v>1.1716462968907578E-3</v>
      </c>
      <c r="I73" s="10">
        <v>45936</v>
      </c>
      <c r="J73" s="7">
        <v>59.65</v>
      </c>
      <c r="K73" s="12">
        <f t="shared" si="10"/>
        <v>3.3534540891055079E-4</v>
      </c>
      <c r="M73" s="45">
        <v>45936</v>
      </c>
      <c r="N73" s="7">
        <v>132.25</v>
      </c>
      <c r="O73" s="12">
        <f t="shared" si="12"/>
        <v>-1.0580412111566308E-3</v>
      </c>
      <c r="Q73" s="6">
        <v>45936</v>
      </c>
      <c r="R73" s="7">
        <v>193.69</v>
      </c>
      <c r="S73" s="8">
        <f t="shared" si="11"/>
        <v>2.5817778265431723E-4</v>
      </c>
      <c r="Z73" s="14"/>
    </row>
    <row r="74" spans="1:26">
      <c r="A74" s="10">
        <v>45937</v>
      </c>
      <c r="B74" s="7">
        <v>511.07</v>
      </c>
      <c r="C74" s="12">
        <f t="shared" si="8"/>
        <v>-6.1835154258401267E-3</v>
      </c>
      <c r="E74" s="6">
        <v>45937</v>
      </c>
      <c r="F74" s="7">
        <v>59.38</v>
      </c>
      <c r="G74" s="8">
        <f t="shared" si="9"/>
        <v>-6.7136875201780641E-3</v>
      </c>
      <c r="I74" s="10">
        <v>45937</v>
      </c>
      <c r="J74" s="7">
        <v>59.02</v>
      </c>
      <c r="K74" s="12">
        <f t="shared" si="10"/>
        <v>-1.061777902913167E-2</v>
      </c>
      <c r="M74" s="45">
        <v>45937</v>
      </c>
      <c r="N74" s="7">
        <v>131.55000000000001</v>
      </c>
      <c r="O74" s="12">
        <f t="shared" si="12"/>
        <v>-5.3070632521068969E-3</v>
      </c>
      <c r="Q74" s="6">
        <v>45937</v>
      </c>
      <c r="R74" s="7">
        <v>192.9</v>
      </c>
      <c r="S74" s="8">
        <f t="shared" si="11"/>
        <v>-4.0870229424644425E-3</v>
      </c>
      <c r="Z74" s="14"/>
    </row>
    <row r="75" spans="1:26">
      <c r="A75" s="10">
        <v>45938</v>
      </c>
      <c r="B75" s="7">
        <v>514.02</v>
      </c>
      <c r="C75" s="12">
        <f t="shared" si="8"/>
        <v>5.7556080806997929E-3</v>
      </c>
      <c r="E75" s="6">
        <v>45938</v>
      </c>
      <c r="F75" s="7">
        <v>59.09</v>
      </c>
      <c r="G75" s="8">
        <f t="shared" si="9"/>
        <v>-4.8957639780304743E-3</v>
      </c>
      <c r="I75" s="10">
        <v>45938</v>
      </c>
      <c r="J75" s="7">
        <v>59.61</v>
      </c>
      <c r="K75" s="12">
        <f t="shared" si="10"/>
        <v>9.9469757170416676E-3</v>
      </c>
      <c r="M75" s="45">
        <v>45938</v>
      </c>
      <c r="N75" s="7">
        <v>132.31</v>
      </c>
      <c r="O75" s="12">
        <f t="shared" si="12"/>
        <v>5.7606465680177504E-3</v>
      </c>
      <c r="Q75" s="6">
        <v>45938</v>
      </c>
      <c r="R75" s="7">
        <v>194.06</v>
      </c>
      <c r="S75" s="8">
        <f t="shared" si="11"/>
        <v>5.9954696854699115E-3</v>
      </c>
      <c r="Z75" s="14"/>
    </row>
    <row r="76" spans="1:26">
      <c r="A76" s="10">
        <v>45939</v>
      </c>
      <c r="B76" s="7">
        <v>507.76</v>
      </c>
      <c r="C76" s="12">
        <f t="shared" si="8"/>
        <v>-1.2253280205792869E-2</v>
      </c>
      <c r="E76" s="6">
        <v>45939</v>
      </c>
      <c r="F76" s="7">
        <v>58.61</v>
      </c>
      <c r="G76" s="8">
        <f t="shared" si="9"/>
        <v>-8.1563748692454145E-3</v>
      </c>
      <c r="I76" s="10">
        <v>45939</v>
      </c>
      <c r="J76" s="7">
        <v>58.68</v>
      </c>
      <c r="K76" s="12">
        <f t="shared" si="10"/>
        <v>-1.5724391957054218E-2</v>
      </c>
      <c r="M76" s="45">
        <v>45939</v>
      </c>
      <c r="N76" s="7">
        <v>131.06</v>
      </c>
      <c r="O76" s="12">
        <f t="shared" si="12"/>
        <v>-9.4924204429687829E-3</v>
      </c>
      <c r="Q76" s="6">
        <v>45939</v>
      </c>
      <c r="R76" s="7">
        <v>191.11</v>
      </c>
      <c r="S76" s="8">
        <f t="shared" si="11"/>
        <v>-1.5318211096263509E-2</v>
      </c>
      <c r="Z76" s="14"/>
    </row>
    <row r="77" spans="1:26">
      <c r="A77" s="10">
        <v>45940</v>
      </c>
      <c r="B77" s="7">
        <v>505.05</v>
      </c>
      <c r="C77" s="12">
        <f t="shared" si="8"/>
        <v>-5.3514607230214012E-3</v>
      </c>
      <c r="E77" s="6">
        <v>45940</v>
      </c>
      <c r="F77" s="7">
        <v>57.39</v>
      </c>
      <c r="G77" s="8">
        <f t="shared" si="9"/>
        <v>-2.1035258368066617E-2</v>
      </c>
      <c r="I77" s="10">
        <v>45940</v>
      </c>
      <c r="J77" s="7">
        <v>56.93</v>
      </c>
      <c r="K77" s="12">
        <f t="shared" si="10"/>
        <v>-3.0276510311790416E-2</v>
      </c>
      <c r="M77" s="45">
        <v>45940</v>
      </c>
      <c r="N77" s="7">
        <v>130.03</v>
      </c>
      <c r="O77" s="12">
        <f t="shared" si="12"/>
        <v>-7.8900405481222707E-3</v>
      </c>
      <c r="Q77" s="6">
        <v>45940</v>
      </c>
      <c r="R77" s="7">
        <v>190.66</v>
      </c>
      <c r="S77" s="8">
        <f t="shared" si="11"/>
        <v>-2.3574414354579063E-3</v>
      </c>
      <c r="Z77" s="14"/>
    </row>
    <row r="78" spans="1:26">
      <c r="A78" s="10">
        <v>45943</v>
      </c>
      <c r="B78" s="7">
        <v>503.83</v>
      </c>
      <c r="C78" s="12">
        <f t="shared" si="8"/>
        <v>-2.418524690101698E-3</v>
      </c>
      <c r="E78" s="6">
        <v>45943</v>
      </c>
      <c r="F78" s="7">
        <v>57.59</v>
      </c>
      <c r="G78" s="8">
        <f t="shared" si="9"/>
        <v>3.478869398309767E-3</v>
      </c>
      <c r="I78" s="10">
        <v>45943</v>
      </c>
      <c r="J78" s="7">
        <v>57.5</v>
      </c>
      <c r="K78" s="12">
        <f t="shared" si="10"/>
        <v>9.9625048403143308E-3</v>
      </c>
      <c r="M78" s="45">
        <v>45943</v>
      </c>
      <c r="N78" s="7">
        <v>129.12</v>
      </c>
      <c r="O78" s="12">
        <f t="shared" si="12"/>
        <v>-7.0229885415898589E-3</v>
      </c>
      <c r="Q78" s="6">
        <v>45943</v>
      </c>
      <c r="R78" s="7">
        <v>187.75</v>
      </c>
      <c r="S78" s="8">
        <f t="shared" si="11"/>
        <v>-1.5380446421187948E-2</v>
      </c>
      <c r="Z78" s="14"/>
    </row>
    <row r="79" spans="1:26">
      <c r="A79" s="10">
        <v>45944</v>
      </c>
      <c r="B79" s="7">
        <v>505.18</v>
      </c>
      <c r="C79" s="12">
        <f t="shared" si="8"/>
        <v>2.6758918257392913E-3</v>
      </c>
      <c r="E79" s="6">
        <v>45944</v>
      </c>
      <c r="F79" s="7">
        <v>58.36</v>
      </c>
      <c r="G79" s="8">
        <f t="shared" si="9"/>
        <v>1.3281782136003931E-2</v>
      </c>
      <c r="I79" s="10">
        <v>45944</v>
      </c>
      <c r="J79" s="7">
        <v>56.66</v>
      </c>
      <c r="K79" s="12">
        <f t="shared" si="10"/>
        <v>-1.4716453400934281E-2</v>
      </c>
      <c r="M79" s="45">
        <v>45944</v>
      </c>
      <c r="N79" s="7">
        <v>130.26</v>
      </c>
      <c r="O79" s="12">
        <f t="shared" si="12"/>
        <v>8.7902485966167964E-3</v>
      </c>
      <c r="Q79" s="6">
        <v>45944</v>
      </c>
      <c r="R79" s="7">
        <v>187.98</v>
      </c>
      <c r="S79" s="8">
        <f t="shared" si="11"/>
        <v>1.2242835479112438E-3</v>
      </c>
      <c r="Z79" s="14"/>
    </row>
    <row r="80" spans="1:26">
      <c r="A80" s="10">
        <v>45945</v>
      </c>
      <c r="B80" s="7">
        <v>499.41</v>
      </c>
      <c r="C80" s="12">
        <f t="shared" si="8"/>
        <v>-1.1487399736801509E-2</v>
      </c>
      <c r="E80" s="6">
        <v>45945</v>
      </c>
      <c r="F80" s="7">
        <v>60.47</v>
      </c>
      <c r="G80" s="8">
        <f t="shared" si="9"/>
        <v>3.5516650630536654E-2</v>
      </c>
      <c r="I80" s="10">
        <v>45945</v>
      </c>
      <c r="J80" s="7">
        <v>56.72</v>
      </c>
      <c r="K80" s="12">
        <f t="shared" si="10"/>
        <v>1.0583878215016443E-3</v>
      </c>
      <c r="M80" s="45">
        <v>45945</v>
      </c>
      <c r="N80" s="7">
        <v>129.97</v>
      </c>
      <c r="O80" s="12">
        <f t="shared" si="12"/>
        <v>-2.2287985247583394E-3</v>
      </c>
      <c r="Q80" s="6">
        <v>45945</v>
      </c>
      <c r="R80" s="7">
        <v>190.14</v>
      </c>
      <c r="S80" s="8">
        <f t="shared" si="11"/>
        <v>1.1425068738728974E-2</v>
      </c>
      <c r="Z80" s="14"/>
    </row>
    <row r="81" spans="1:26">
      <c r="A81" s="10">
        <v>45946</v>
      </c>
      <c r="B81" s="7">
        <v>493.25</v>
      </c>
      <c r="C81" s="12">
        <f t="shared" si="8"/>
        <v>-1.2411256771304538E-2</v>
      </c>
      <c r="E81" s="6">
        <v>45946</v>
      </c>
      <c r="F81" s="7">
        <v>60.44</v>
      </c>
      <c r="G81" s="8">
        <f t="shared" si="9"/>
        <v>-4.9623688058267616E-4</v>
      </c>
      <c r="I81" s="10">
        <v>45946</v>
      </c>
      <c r="J81" s="7">
        <v>56.09</v>
      </c>
      <c r="K81" s="12">
        <f t="shared" si="10"/>
        <v>-1.116933870362641E-2</v>
      </c>
      <c r="M81" s="45">
        <v>45946</v>
      </c>
      <c r="N81" s="7">
        <v>130.77000000000001</v>
      </c>
      <c r="O81" s="12">
        <f t="shared" si="12"/>
        <v>6.1364003249139223E-3</v>
      </c>
      <c r="Q81" s="6">
        <v>45946</v>
      </c>
      <c r="R81" s="7">
        <v>185.37</v>
      </c>
      <c r="S81" s="8">
        <f t="shared" si="11"/>
        <v>-2.5406815189886387E-2</v>
      </c>
      <c r="Z81" s="14"/>
    </row>
    <row r="82" spans="1:26">
      <c r="A82" s="10">
        <v>45947</v>
      </c>
      <c r="B82" s="7">
        <v>495.15</v>
      </c>
      <c r="C82" s="12">
        <f t="shared" si="8"/>
        <v>3.8446020645868462E-3</v>
      </c>
      <c r="E82" s="6">
        <v>45947</v>
      </c>
      <c r="F82" s="7">
        <v>61.59</v>
      </c>
      <c r="G82" s="8">
        <f t="shared" si="9"/>
        <v>1.8848382294413116E-2</v>
      </c>
      <c r="I82" s="10">
        <v>45947</v>
      </c>
      <c r="J82" s="7">
        <v>54.37</v>
      </c>
      <c r="K82" s="12">
        <f t="shared" si="10"/>
        <v>-3.1145012362416402E-2</v>
      </c>
      <c r="M82" s="45">
        <v>45947</v>
      </c>
      <c r="N82" s="7">
        <v>131.43</v>
      </c>
      <c r="O82" s="12">
        <f t="shared" si="12"/>
        <v>5.0343355755059129E-3</v>
      </c>
      <c r="Q82" s="6">
        <v>45947</v>
      </c>
      <c r="R82" s="7">
        <v>186.3</v>
      </c>
      <c r="S82" s="8">
        <f t="shared" si="11"/>
        <v>5.004449866544922E-3</v>
      </c>
      <c r="Z82" s="14"/>
    </row>
    <row r="83" spans="1:26">
      <c r="A83" s="10">
        <v>45950</v>
      </c>
      <c r="B83" s="7">
        <v>505.9</v>
      </c>
      <c r="C83" s="12">
        <f t="shared" si="8"/>
        <v>2.1478274330578789E-2</v>
      </c>
      <c r="E83" s="6">
        <v>45950</v>
      </c>
      <c r="F83" s="7">
        <v>61.04</v>
      </c>
      <c r="G83" s="8">
        <f t="shared" si="9"/>
        <v>-8.9701327227503739E-3</v>
      </c>
      <c r="I83" s="10">
        <v>45950</v>
      </c>
      <c r="J83" s="7">
        <v>55.74</v>
      </c>
      <c r="K83" s="12">
        <f t="shared" si="10"/>
        <v>2.488549089597299E-2</v>
      </c>
      <c r="M83" s="45">
        <v>45950</v>
      </c>
      <c r="N83" s="7">
        <v>131.79</v>
      </c>
      <c r="O83" s="12">
        <f t="shared" si="12"/>
        <v>2.7353561618810441E-3</v>
      </c>
      <c r="Q83" s="6">
        <v>45950</v>
      </c>
      <c r="R83" s="7">
        <v>184.79</v>
      </c>
      <c r="S83" s="8">
        <f t="shared" si="11"/>
        <v>-8.1382324182087198E-3</v>
      </c>
      <c r="Z83" s="14"/>
    </row>
    <row r="84" spans="1:26">
      <c r="A84" s="10">
        <v>45951</v>
      </c>
      <c r="B84" s="7">
        <v>489.5</v>
      </c>
      <c r="C84" s="12">
        <f t="shared" si="8"/>
        <v>-3.2954559327325293E-2</v>
      </c>
      <c r="E84" s="6">
        <v>45951</v>
      </c>
      <c r="F84" s="7">
        <v>60.99</v>
      </c>
      <c r="G84" s="8">
        <f t="shared" si="9"/>
        <v>-8.1947066783656837E-4</v>
      </c>
      <c r="I84" s="10">
        <v>45951</v>
      </c>
      <c r="J84" s="7">
        <v>54.78</v>
      </c>
      <c r="K84" s="12">
        <f t="shared" si="10"/>
        <v>-1.7372858218870035E-2</v>
      </c>
      <c r="M84" s="45">
        <v>45951</v>
      </c>
      <c r="N84" s="7">
        <v>131.34</v>
      </c>
      <c r="O84" s="12">
        <f t="shared" si="12"/>
        <v>-3.4203658929712528E-3</v>
      </c>
      <c r="Q84" s="6">
        <v>45951</v>
      </c>
      <c r="R84" s="7">
        <v>184.71</v>
      </c>
      <c r="S84" s="8">
        <f t="shared" si="11"/>
        <v>-4.3301759810559229E-4</v>
      </c>
      <c r="Z84" s="14"/>
    </row>
    <row r="85" spans="1:26">
      <c r="A85" s="10">
        <v>45952</v>
      </c>
      <c r="B85" s="7">
        <v>487.14</v>
      </c>
      <c r="C85" s="12">
        <f t="shared" si="8"/>
        <v>-4.8329058681550168E-3</v>
      </c>
      <c r="E85" s="6">
        <v>45952</v>
      </c>
      <c r="F85" s="7">
        <v>62.25</v>
      </c>
      <c r="G85" s="8">
        <f t="shared" si="9"/>
        <v>2.0448619036451985E-2</v>
      </c>
      <c r="I85" s="10">
        <v>45952</v>
      </c>
      <c r="J85" s="7">
        <v>53.38</v>
      </c>
      <c r="K85" s="12">
        <f t="shared" si="10"/>
        <v>-2.5889019858553994E-2</v>
      </c>
      <c r="M85" s="45">
        <v>45952</v>
      </c>
      <c r="N85" s="7">
        <v>131.43</v>
      </c>
      <c r="O85" s="12">
        <f t="shared" si="12"/>
        <v>6.8500973109028021E-4</v>
      </c>
      <c r="Q85" s="6">
        <v>45952</v>
      </c>
      <c r="R85" s="7">
        <v>182.79</v>
      </c>
      <c r="S85" s="8">
        <f t="shared" si="11"/>
        <v>-1.0449074662715871E-2</v>
      </c>
      <c r="Z85" s="14"/>
    </row>
    <row r="86" spans="1:26">
      <c r="A86" s="10">
        <v>45953</v>
      </c>
      <c r="B86" s="7">
        <v>488.05</v>
      </c>
      <c r="C86" s="12">
        <f t="shared" si="8"/>
        <v>1.8663035185640751E-3</v>
      </c>
      <c r="E86" s="6">
        <v>45953</v>
      </c>
      <c r="F86" s="7">
        <v>62.58</v>
      </c>
      <c r="G86" s="8">
        <f t="shared" si="9"/>
        <v>5.2872028959190685E-3</v>
      </c>
      <c r="I86" s="10">
        <v>45953</v>
      </c>
      <c r="J86" s="7">
        <v>53.23</v>
      </c>
      <c r="K86" s="12">
        <f t="shared" si="10"/>
        <v>-2.813996791712162E-3</v>
      </c>
      <c r="M86" s="45">
        <v>45953</v>
      </c>
      <c r="N86" s="7">
        <v>131.63999999999999</v>
      </c>
      <c r="O86" s="12">
        <f t="shared" si="12"/>
        <v>1.5965335812223142E-3</v>
      </c>
      <c r="Q86" s="6">
        <v>45953</v>
      </c>
      <c r="R86" s="7">
        <v>180.19</v>
      </c>
      <c r="S86" s="8">
        <f t="shared" si="11"/>
        <v>-1.4326103189789857E-2</v>
      </c>
      <c r="Z86" s="14"/>
    </row>
    <row r="87" spans="1:26">
      <c r="A87" s="10">
        <v>45954</v>
      </c>
      <c r="B87" s="7">
        <v>485.41</v>
      </c>
      <c r="C87" s="12">
        <f t="shared" si="8"/>
        <v>-5.4239649749633833E-3</v>
      </c>
      <c r="E87" s="6">
        <v>45954</v>
      </c>
      <c r="F87" s="7">
        <v>62.1</v>
      </c>
      <c r="G87" s="8">
        <f t="shared" si="9"/>
        <v>-7.699749301303003E-3</v>
      </c>
      <c r="I87" s="10">
        <v>45954</v>
      </c>
      <c r="J87" s="7">
        <v>52.96</v>
      </c>
      <c r="K87" s="12">
        <f t="shared" si="10"/>
        <v>-5.0852355559132135E-3</v>
      </c>
      <c r="M87" s="45">
        <v>45954</v>
      </c>
      <c r="N87" s="7">
        <v>130.36000000000001</v>
      </c>
      <c r="O87" s="12">
        <f t="shared" si="12"/>
        <v>-9.7710701057781412E-3</v>
      </c>
      <c r="Q87" s="6">
        <v>45954</v>
      </c>
      <c r="R87" s="7">
        <v>178.01</v>
      </c>
      <c r="S87" s="8">
        <f t="shared" si="11"/>
        <v>-1.2172121249381333E-2</v>
      </c>
      <c r="Z87" s="14"/>
    </row>
    <row r="88" spans="1:26">
      <c r="A88" s="10">
        <v>45957</v>
      </c>
      <c r="B88" s="7">
        <v>486.91</v>
      </c>
      <c r="C88" s="12">
        <f t="shared" si="8"/>
        <v>3.085406429912859E-3</v>
      </c>
      <c r="E88" s="6">
        <v>45957</v>
      </c>
      <c r="F88" s="7">
        <v>62.37</v>
      </c>
      <c r="G88" s="8">
        <f t="shared" si="9"/>
        <v>4.3384015985981411E-3</v>
      </c>
      <c r="I88" s="10">
        <v>45957</v>
      </c>
      <c r="J88" s="7">
        <v>52.89</v>
      </c>
      <c r="K88" s="12">
        <f t="shared" si="10"/>
        <v>-1.3226265508642573E-3</v>
      </c>
      <c r="M88" s="45">
        <v>45957</v>
      </c>
      <c r="N88" s="7">
        <v>129.13999999999999</v>
      </c>
      <c r="O88" s="12">
        <f t="shared" si="12"/>
        <v>-9.4027667710401084E-3</v>
      </c>
      <c r="Q88" s="6">
        <v>45957</v>
      </c>
      <c r="R88" s="7">
        <v>180.06</v>
      </c>
      <c r="S88" s="8">
        <f t="shared" si="11"/>
        <v>1.1450400190989193E-2</v>
      </c>
      <c r="Z88" s="14"/>
    </row>
    <row r="89" spans="1:26">
      <c r="A89" s="10">
        <v>45958</v>
      </c>
      <c r="B89" s="7">
        <v>485.77</v>
      </c>
      <c r="C89" s="12">
        <f t="shared" si="8"/>
        <v>-2.3440402228478282E-3</v>
      </c>
      <c r="E89" s="6">
        <v>45958</v>
      </c>
      <c r="F89" s="7">
        <v>62.06</v>
      </c>
      <c r="G89" s="8">
        <f t="shared" si="9"/>
        <v>-4.9827315177970186E-3</v>
      </c>
      <c r="I89" s="10">
        <v>45958</v>
      </c>
      <c r="J89" s="7">
        <v>52.05</v>
      </c>
      <c r="K89" s="12">
        <f t="shared" si="10"/>
        <v>-1.6009490016910721E-2</v>
      </c>
      <c r="M89" s="45">
        <v>45958</v>
      </c>
      <c r="N89" s="7">
        <v>123.43</v>
      </c>
      <c r="O89" s="12">
        <f t="shared" si="12"/>
        <v>-4.5222893442483432E-2</v>
      </c>
      <c r="Q89" s="6">
        <v>45958</v>
      </c>
      <c r="R89" s="7">
        <v>178.87</v>
      </c>
      <c r="S89" s="8">
        <f t="shared" si="11"/>
        <v>-6.6308436751763141E-3</v>
      </c>
      <c r="Z89" s="14"/>
    </row>
    <row r="90" spans="1:26">
      <c r="A90" s="10">
        <v>45959</v>
      </c>
      <c r="B90" s="7">
        <v>485.33</v>
      </c>
      <c r="C90" s="12">
        <f t="shared" si="8"/>
        <v>-9.0618892000798954E-4</v>
      </c>
      <c r="E90" s="6">
        <v>45959</v>
      </c>
      <c r="F90" s="7">
        <v>62.22</v>
      </c>
      <c r="G90" s="8">
        <f t="shared" si="9"/>
        <v>2.5748324492567134E-3</v>
      </c>
      <c r="I90" s="10">
        <v>45959</v>
      </c>
      <c r="J90" s="7">
        <v>51.37</v>
      </c>
      <c r="K90" s="12">
        <f t="shared" si="10"/>
        <v>-1.3150450581801448E-2</v>
      </c>
      <c r="M90" s="45">
        <v>45959</v>
      </c>
      <c r="N90" s="7">
        <v>121.8</v>
      </c>
      <c r="O90" s="12">
        <f t="shared" si="12"/>
        <v>-1.3293838480040747E-2</v>
      </c>
      <c r="Q90" s="6">
        <v>45959</v>
      </c>
      <c r="R90" s="7">
        <v>173.94</v>
      </c>
      <c r="S90" s="8">
        <f t="shared" si="11"/>
        <v>-2.7948872843535363E-2</v>
      </c>
      <c r="Z90" s="14"/>
    </row>
    <row r="91" spans="1:26">
      <c r="A91" s="10">
        <v>45960</v>
      </c>
      <c r="B91" s="7">
        <v>489.72</v>
      </c>
      <c r="C91" s="12">
        <f t="shared" si="8"/>
        <v>9.0047272726468813E-3</v>
      </c>
      <c r="E91" s="6">
        <v>45960</v>
      </c>
      <c r="F91" s="7">
        <v>61.64</v>
      </c>
      <c r="G91" s="8">
        <f t="shared" si="9"/>
        <v>-9.3654810175759044E-3</v>
      </c>
      <c r="I91" s="10">
        <v>45960</v>
      </c>
      <c r="J91" s="7">
        <v>50.04</v>
      </c>
      <c r="K91" s="12">
        <f t="shared" si="10"/>
        <v>-2.6231658880466049E-2</v>
      </c>
      <c r="M91" s="45">
        <v>45960</v>
      </c>
      <c r="N91" s="7">
        <v>122.61</v>
      </c>
      <c r="O91" s="12">
        <f t="shared" si="12"/>
        <v>6.628230968499035E-3</v>
      </c>
      <c r="Q91" s="6">
        <v>45960</v>
      </c>
      <c r="R91" s="7">
        <v>169.85</v>
      </c>
      <c r="S91" s="8">
        <f t="shared" si="11"/>
        <v>-2.3794717555026171E-2</v>
      </c>
      <c r="Z91" s="14"/>
    </row>
    <row r="92" spans="1:26">
      <c r="A92" s="10">
        <v>45961</v>
      </c>
      <c r="B92" s="7">
        <v>491.88</v>
      </c>
      <c r="C92" s="12">
        <f t="shared" si="8"/>
        <v>4.4009850985317327E-3</v>
      </c>
      <c r="E92" s="6">
        <v>45961</v>
      </c>
      <c r="F92" s="7">
        <v>62.24</v>
      </c>
      <c r="G92" s="8">
        <f t="shared" si="9"/>
        <v>9.6868694182212361E-3</v>
      </c>
      <c r="I92" s="10">
        <v>45961</v>
      </c>
      <c r="J92" s="7">
        <v>49.46</v>
      </c>
      <c r="K92" s="12">
        <f t="shared" si="10"/>
        <v>-1.1658423505440246E-2</v>
      </c>
      <c r="M92" s="45">
        <v>45961</v>
      </c>
      <c r="N92" s="7">
        <v>123.79</v>
      </c>
      <c r="O92" s="12">
        <f t="shared" si="12"/>
        <v>9.5779952994233478E-3</v>
      </c>
      <c r="Q92" s="6">
        <v>45961</v>
      </c>
      <c r="R92" s="7">
        <v>168.33</v>
      </c>
      <c r="S92" s="8">
        <f t="shared" si="11"/>
        <v>-8.9893561756025277E-3</v>
      </c>
      <c r="Z92" s="14"/>
    </row>
    <row r="93" spans="1:26">
      <c r="A93" s="10">
        <v>45964</v>
      </c>
      <c r="B93" s="7">
        <v>487.94</v>
      </c>
      <c r="C93" s="12">
        <f t="shared" si="8"/>
        <v>-8.0423368298430404E-3</v>
      </c>
      <c r="E93" s="6">
        <v>45964</v>
      </c>
      <c r="F93" s="7">
        <v>61.57</v>
      </c>
      <c r="G93" s="8">
        <f t="shared" si="9"/>
        <v>-1.0823140947017402E-2</v>
      </c>
      <c r="I93" s="10">
        <v>45964</v>
      </c>
      <c r="J93" s="7">
        <v>49.11</v>
      </c>
      <c r="K93" s="12">
        <f t="shared" si="10"/>
        <v>-7.1015820421169457E-3</v>
      </c>
      <c r="M93" s="45">
        <v>45964</v>
      </c>
      <c r="N93" s="7">
        <v>123.86</v>
      </c>
      <c r="O93" s="12">
        <f t="shared" si="12"/>
        <v>5.6531396619588622E-4</v>
      </c>
      <c r="Q93" s="6">
        <v>45964</v>
      </c>
      <c r="R93" s="7">
        <v>161.07</v>
      </c>
      <c r="S93" s="8">
        <f t="shared" si="11"/>
        <v>-4.4087285328402566E-2</v>
      </c>
      <c r="Z93" s="14"/>
    </row>
    <row r="94" spans="1:26">
      <c r="A94" s="10">
        <v>45965</v>
      </c>
      <c r="B94" s="7">
        <v>484.98</v>
      </c>
      <c r="C94" s="12">
        <f t="shared" si="8"/>
        <v>-6.0847945005953561E-3</v>
      </c>
      <c r="E94" s="6">
        <v>45965</v>
      </c>
      <c r="F94" s="7">
        <v>61.25</v>
      </c>
      <c r="G94" s="8">
        <f t="shared" si="9"/>
        <v>-5.2108894982823986E-3</v>
      </c>
      <c r="I94" s="10">
        <v>45965</v>
      </c>
      <c r="J94" s="7">
        <v>48.25</v>
      </c>
      <c r="K94" s="12">
        <f t="shared" si="10"/>
        <v>-1.7666852266158283E-2</v>
      </c>
      <c r="M94" s="45">
        <v>45965</v>
      </c>
      <c r="N94" s="7">
        <v>125.01</v>
      </c>
      <c r="O94" s="12">
        <f t="shared" si="12"/>
        <v>9.2418385925570092E-3</v>
      </c>
      <c r="Q94" s="6">
        <v>45965</v>
      </c>
      <c r="R94" s="7">
        <v>164.68</v>
      </c>
      <c r="S94" s="8">
        <f t="shared" si="11"/>
        <v>2.2165143799116219E-2</v>
      </c>
      <c r="Z94" s="14"/>
    </row>
    <row r="95" spans="1:26">
      <c r="A95" s="10">
        <v>45966</v>
      </c>
      <c r="B95" s="7">
        <v>473.14</v>
      </c>
      <c r="C95" s="12">
        <f t="shared" si="8"/>
        <v>-2.4716325189546799E-2</v>
      </c>
      <c r="E95" s="6">
        <v>45966</v>
      </c>
      <c r="F95" s="7">
        <v>60.99</v>
      </c>
      <c r="G95" s="8">
        <f t="shared" si="9"/>
        <v>-4.253933116471327E-3</v>
      </c>
      <c r="I95" s="10">
        <v>45966</v>
      </c>
      <c r="J95" s="7">
        <v>48.46</v>
      </c>
      <c r="K95" s="12">
        <f t="shared" si="10"/>
        <v>4.3428876033848526E-3</v>
      </c>
      <c r="M95" s="45">
        <v>45966</v>
      </c>
      <c r="N95" s="7">
        <v>125.5</v>
      </c>
      <c r="O95" s="12">
        <f t="shared" si="12"/>
        <v>3.9120244693666923E-3</v>
      </c>
      <c r="Q95" s="6">
        <v>45966</v>
      </c>
      <c r="R95" s="7">
        <v>168.58</v>
      </c>
      <c r="S95" s="8">
        <f t="shared" si="11"/>
        <v>2.3406217667632144E-2</v>
      </c>
      <c r="Z95" s="14"/>
    </row>
    <row r="96" spans="1:26">
      <c r="A96" s="10">
        <v>45967</v>
      </c>
      <c r="B96" s="7">
        <v>468.92</v>
      </c>
      <c r="C96" s="12">
        <f t="shared" si="8"/>
        <v>-8.9591495806337178E-3</v>
      </c>
      <c r="E96" s="6">
        <v>45967</v>
      </c>
      <c r="F96" s="7">
        <v>61.11</v>
      </c>
      <c r="G96" s="8">
        <f t="shared" si="9"/>
        <v>1.9656025984591272E-3</v>
      </c>
      <c r="I96" s="10">
        <v>45967</v>
      </c>
      <c r="J96" s="7">
        <v>46.51</v>
      </c>
      <c r="K96" s="12">
        <f t="shared" si="10"/>
        <v>-4.1071372152374053E-2</v>
      </c>
      <c r="M96" s="45">
        <v>45967</v>
      </c>
      <c r="N96" s="7">
        <v>126.57</v>
      </c>
      <c r="O96" s="12">
        <f t="shared" si="12"/>
        <v>8.4897562325184379E-3</v>
      </c>
      <c r="Q96" s="6">
        <v>45967</v>
      </c>
      <c r="R96" s="7">
        <v>166.36</v>
      </c>
      <c r="S96" s="8">
        <f t="shared" si="11"/>
        <v>-1.3256299694625153E-2</v>
      </c>
      <c r="Z96" s="14"/>
    </row>
    <row r="97" spans="1:26">
      <c r="A97" s="10">
        <v>45968</v>
      </c>
      <c r="B97" s="7">
        <v>458.35</v>
      </c>
      <c r="C97" s="12">
        <f t="shared" si="8"/>
        <v>-2.2799093795842929E-2</v>
      </c>
      <c r="E97" s="6">
        <v>45968</v>
      </c>
      <c r="F97" s="7">
        <v>62.26</v>
      </c>
      <c r="G97" s="8">
        <f t="shared" si="9"/>
        <v>1.8643646106637903E-2</v>
      </c>
      <c r="I97" s="10">
        <v>45968</v>
      </c>
      <c r="J97" s="7">
        <v>45.68</v>
      </c>
      <c r="K97" s="12">
        <f t="shared" si="10"/>
        <v>-1.8006777888250877E-2</v>
      </c>
      <c r="M97" s="45">
        <v>45968</v>
      </c>
      <c r="N97" s="7">
        <v>126.35</v>
      </c>
      <c r="O97" s="12">
        <f t="shared" si="12"/>
        <v>-1.7396809701537639E-3</v>
      </c>
      <c r="Q97" s="6">
        <v>45968</v>
      </c>
      <c r="R97" s="7">
        <v>169.31</v>
      </c>
      <c r="S97" s="8">
        <f t="shared" si="11"/>
        <v>1.757723926542944E-2</v>
      </c>
      <c r="Z97" s="14"/>
    </row>
    <row r="98" spans="1:26">
      <c r="A98" s="10">
        <v>45971</v>
      </c>
      <c r="B98" s="7">
        <v>452.1</v>
      </c>
      <c r="C98" s="12">
        <f t="shared" si="8"/>
        <v>-1.3729690107225164E-2</v>
      </c>
      <c r="E98" s="6">
        <v>45971</v>
      </c>
      <c r="F98" s="7">
        <v>62.93</v>
      </c>
      <c r="G98" s="8">
        <f t="shared" si="9"/>
        <v>1.0703832525380076E-2</v>
      </c>
      <c r="I98" s="10">
        <v>45971</v>
      </c>
      <c r="J98" s="7">
        <v>45.94</v>
      </c>
      <c r="K98" s="12">
        <f t="shared" si="10"/>
        <v>5.6756319131972656E-3</v>
      </c>
      <c r="M98" s="45">
        <v>45971</v>
      </c>
      <c r="N98" s="7">
        <v>127.2</v>
      </c>
      <c r="O98" s="12">
        <f t="shared" si="12"/>
        <v>6.7048170718185061E-3</v>
      </c>
      <c r="Q98" s="6">
        <v>45971</v>
      </c>
      <c r="R98" s="7">
        <v>167.62</v>
      </c>
      <c r="S98" s="8">
        <f t="shared" si="11"/>
        <v>-1.0031841469380267E-2</v>
      </c>
      <c r="Z98" s="14"/>
    </row>
    <row r="99" spans="1:26">
      <c r="A99" s="10">
        <v>45972</v>
      </c>
      <c r="B99" s="7">
        <v>457.07</v>
      </c>
      <c r="C99" s="12">
        <f t="shared" si="8"/>
        <v>1.0933157730400114E-2</v>
      </c>
      <c r="E99" s="6">
        <v>45972</v>
      </c>
      <c r="F99" s="7">
        <v>63.96</v>
      </c>
      <c r="G99" s="8">
        <f t="shared" si="9"/>
        <v>1.6234890426911213E-2</v>
      </c>
      <c r="I99" s="10">
        <v>45972</v>
      </c>
      <c r="J99" s="7">
        <v>49.15</v>
      </c>
      <c r="K99" s="12">
        <f t="shared" si="10"/>
        <v>6.7540649332223451E-2</v>
      </c>
      <c r="M99" s="45">
        <v>45972</v>
      </c>
      <c r="N99" s="7">
        <v>130.5</v>
      </c>
      <c r="O99" s="12">
        <f t="shared" si="12"/>
        <v>2.56125758567263E-2</v>
      </c>
      <c r="Q99" s="6">
        <v>45972</v>
      </c>
      <c r="R99" s="7">
        <v>171.4</v>
      </c>
      <c r="S99" s="8">
        <f t="shared" si="11"/>
        <v>2.2300493492919196E-2</v>
      </c>
      <c r="Z99" s="14"/>
    </row>
    <row r="100" spans="1:26">
      <c r="A100" s="10">
        <v>45973</v>
      </c>
      <c r="B100" s="7">
        <v>457.04</v>
      </c>
      <c r="C100" s="12">
        <f t="shared" si="8"/>
        <v>-6.5637614752630185E-5</v>
      </c>
      <c r="E100" s="6">
        <v>45973</v>
      </c>
      <c r="F100" s="7">
        <v>63.95</v>
      </c>
      <c r="G100" s="8">
        <f t="shared" si="9"/>
        <v>-1.5635994090177141E-4</v>
      </c>
      <c r="I100" s="10">
        <v>45973</v>
      </c>
      <c r="J100" s="7">
        <v>50.26</v>
      </c>
      <c r="K100" s="12">
        <f t="shared" si="10"/>
        <v>2.2332685522270641E-2</v>
      </c>
      <c r="M100" s="45">
        <v>45973</v>
      </c>
      <c r="N100" s="7">
        <v>132.29</v>
      </c>
      <c r="O100" s="12">
        <f t="shared" si="12"/>
        <v>1.3623255711540626E-2</v>
      </c>
      <c r="Q100" s="6">
        <v>45973</v>
      </c>
      <c r="R100" s="7">
        <v>176.9</v>
      </c>
      <c r="S100" s="8">
        <f t="shared" si="11"/>
        <v>3.1584595002060262E-2</v>
      </c>
      <c r="Z100" s="14"/>
    </row>
    <row r="101" spans="1:26">
      <c r="A101" s="10">
        <v>45974</v>
      </c>
      <c r="B101" s="7">
        <v>455.85</v>
      </c>
      <c r="C101" s="12">
        <f t="shared" si="8"/>
        <v>-2.6071063852952858E-3</v>
      </c>
      <c r="E101" s="6">
        <v>45974</v>
      </c>
      <c r="F101" s="7">
        <v>64.91</v>
      </c>
      <c r="G101" s="8">
        <f t="shared" si="9"/>
        <v>1.4900167020525473E-2</v>
      </c>
      <c r="I101" s="10">
        <v>45974</v>
      </c>
      <c r="J101" s="7">
        <v>49.16</v>
      </c>
      <c r="K101" s="12">
        <f t="shared" si="10"/>
        <v>-2.2129247417612116E-2</v>
      </c>
      <c r="M101" s="45">
        <v>45974</v>
      </c>
      <c r="N101" s="7">
        <v>131.91</v>
      </c>
      <c r="O101" s="12">
        <f t="shared" si="12"/>
        <v>-2.8766106134602925E-3</v>
      </c>
      <c r="Q101" s="6">
        <v>45974</v>
      </c>
      <c r="R101" s="7">
        <v>176.78</v>
      </c>
      <c r="S101" s="8">
        <f t="shared" si="11"/>
        <v>-6.7857953293777357E-4</v>
      </c>
      <c r="Z101" s="14"/>
    </row>
    <row r="102" spans="1:26">
      <c r="A102" s="10">
        <v>45975</v>
      </c>
      <c r="B102" s="7">
        <v>465.77</v>
      </c>
      <c r="C102" s="12">
        <f t="shared" si="8"/>
        <v>2.1528142021043282E-2</v>
      </c>
      <c r="E102" s="6">
        <v>45975</v>
      </c>
      <c r="F102" s="7">
        <v>65.400000000000006</v>
      </c>
      <c r="G102" s="8">
        <f t="shared" si="9"/>
        <v>7.5205634177759051E-3</v>
      </c>
      <c r="I102" s="10">
        <v>45975</v>
      </c>
      <c r="J102" s="7">
        <v>48.26</v>
      </c>
      <c r="K102" s="12">
        <f t="shared" si="10"/>
        <v>-1.8477224500948321E-2</v>
      </c>
      <c r="M102" s="45">
        <v>45975</v>
      </c>
      <c r="N102" s="7">
        <v>131.26</v>
      </c>
      <c r="O102" s="12">
        <f t="shared" si="12"/>
        <v>-4.9397828152518142E-3</v>
      </c>
      <c r="Q102" s="6">
        <v>45975</v>
      </c>
      <c r="R102" s="7">
        <v>177.83</v>
      </c>
      <c r="S102" s="8">
        <f t="shared" si="11"/>
        <v>5.9220161227674702E-3</v>
      </c>
      <c r="Z102" s="14"/>
    </row>
    <row r="103" spans="1:26">
      <c r="A103" s="10">
        <v>45978</v>
      </c>
      <c r="B103" s="7">
        <v>470.78</v>
      </c>
      <c r="C103" s="12">
        <f t="shared" si="8"/>
        <v>1.0698943548225672E-2</v>
      </c>
      <c r="E103" s="6">
        <v>45978</v>
      </c>
      <c r="F103" s="7">
        <v>65.010000000000005</v>
      </c>
      <c r="G103" s="8">
        <f t="shared" si="9"/>
        <v>-5.9811542467756848E-3</v>
      </c>
      <c r="I103" s="10">
        <v>45978</v>
      </c>
      <c r="J103" s="7">
        <v>48.46</v>
      </c>
      <c r="K103" s="12">
        <f t="shared" si="10"/>
        <v>4.135655191494155E-3</v>
      </c>
      <c r="M103" s="45">
        <v>45978</v>
      </c>
      <c r="N103" s="7">
        <v>131.55000000000001</v>
      </c>
      <c r="O103" s="12">
        <f t="shared" si="12"/>
        <v>2.2069184407252423E-3</v>
      </c>
      <c r="Q103" s="6">
        <v>45978</v>
      </c>
      <c r="R103" s="7">
        <v>179</v>
      </c>
      <c r="S103" s="8">
        <f t="shared" si="11"/>
        <v>6.5577680851856401E-3</v>
      </c>
      <c r="Z103" s="14"/>
    </row>
    <row r="104" spans="1:26">
      <c r="A104" s="10">
        <v>45979</v>
      </c>
      <c r="B104" s="7">
        <v>474.72</v>
      </c>
      <c r="C104" s="12">
        <f t="shared" si="8"/>
        <v>8.3342629423308664E-3</v>
      </c>
      <c r="E104" s="6">
        <v>45979</v>
      </c>
      <c r="F104" s="7">
        <v>64.95</v>
      </c>
      <c r="G104" s="8">
        <f t="shared" si="9"/>
        <v>-9.2336109976887267E-4</v>
      </c>
      <c r="I104" s="10">
        <v>45979</v>
      </c>
      <c r="J104" s="7">
        <v>47.55</v>
      </c>
      <c r="K104" s="12">
        <f t="shared" si="10"/>
        <v>-1.8956926396980486E-2</v>
      </c>
      <c r="M104" s="45">
        <v>45979</v>
      </c>
      <c r="N104" s="42">
        <v>128.01</v>
      </c>
      <c r="O104" s="12">
        <f t="shared" si="12"/>
        <v>-2.7278621618283632E-2</v>
      </c>
      <c r="Q104" s="6">
        <v>45979</v>
      </c>
      <c r="R104" s="7">
        <v>182.93</v>
      </c>
      <c r="S104" s="8">
        <f t="shared" si="11"/>
        <v>2.1717760162451805E-2</v>
      </c>
      <c r="Z104" s="14"/>
    </row>
    <row r="105" spans="1:26">
      <c r="A105" s="10">
        <v>45980</v>
      </c>
      <c r="B105" s="7">
        <v>469.91</v>
      </c>
      <c r="C105" s="12">
        <f t="shared" si="8"/>
        <v>-1.018396953653827E-2</v>
      </c>
      <c r="E105" s="6">
        <v>45980</v>
      </c>
      <c r="F105" s="7">
        <v>64.19</v>
      </c>
      <c r="G105" s="8">
        <f t="shared" si="9"/>
        <v>-1.1770307792921854E-2</v>
      </c>
      <c r="I105" s="10">
        <v>45980</v>
      </c>
      <c r="J105" s="7">
        <v>49</v>
      </c>
      <c r="K105" s="12">
        <f t="shared" si="10"/>
        <v>3.0038509119227331E-2</v>
      </c>
      <c r="M105" s="45">
        <v>45980</v>
      </c>
      <c r="N105" s="42">
        <v>127.31</v>
      </c>
      <c r="O105" s="12">
        <f t="shared" si="12"/>
        <v>-5.4833287944641906E-3</v>
      </c>
      <c r="Q105" s="6">
        <v>45980</v>
      </c>
      <c r="R105" s="7">
        <v>182.48</v>
      </c>
      <c r="S105" s="8">
        <f t="shared" si="11"/>
        <v>-2.4629880270744093E-3</v>
      </c>
      <c r="Z105" s="14"/>
    </row>
    <row r="106" spans="1:26">
      <c r="A106" s="10">
        <v>45981</v>
      </c>
      <c r="B106" s="7">
        <v>468.26</v>
      </c>
      <c r="C106" s="12">
        <f t="shared" si="8"/>
        <v>-3.5174897966267411E-3</v>
      </c>
      <c r="E106" s="6">
        <v>45981</v>
      </c>
      <c r="F106" s="7">
        <v>63.47</v>
      </c>
      <c r="G106" s="8">
        <f>LN(F106/F105)</f>
        <v>-1.1280082005308063E-2</v>
      </c>
      <c r="I106" s="10">
        <v>45981</v>
      </c>
      <c r="J106" s="7">
        <v>47.6</v>
      </c>
      <c r="K106" s="12">
        <f t="shared" si="10"/>
        <v>-2.8987536873252298E-2</v>
      </c>
      <c r="M106" s="45">
        <v>45981</v>
      </c>
      <c r="N106" s="42">
        <v>124.36</v>
      </c>
      <c r="O106" s="12">
        <f t="shared" si="12"/>
        <v>-2.3444471883000969E-2</v>
      </c>
      <c r="Q106" s="6">
        <v>45981</v>
      </c>
      <c r="R106" s="7">
        <v>182.66</v>
      </c>
      <c r="S106" s="8">
        <f t="shared" si="11"/>
        <v>9.8592328740026124E-4</v>
      </c>
      <c r="Z106" s="14"/>
    </row>
    <row r="107" spans="1:26">
      <c r="A107" s="1" t="s">
        <v>37</v>
      </c>
      <c r="B107" s="1" t="s">
        <v>3</v>
      </c>
      <c r="C107" s="2">
        <f>AVERAGEA(C61:C106)</f>
        <v>-2.2446432380045453E-4</v>
      </c>
      <c r="E107" s="1" t="s">
        <v>39</v>
      </c>
      <c r="F107" s="9" t="s">
        <v>3</v>
      </c>
      <c r="G107" s="2">
        <f>AVERAGEA(G61:G106)</f>
        <v>1.1535027773630271E-3</v>
      </c>
      <c r="I107" s="1" t="s">
        <v>41</v>
      </c>
      <c r="J107" s="1" t="s">
        <v>3</v>
      </c>
      <c r="K107" s="2">
        <f>AVERAGEA(K61:K106)</f>
        <v>-4.3707085543482132E-3</v>
      </c>
      <c r="M107" s="1" t="s">
        <v>43</v>
      </c>
      <c r="N107" s="1" t="s">
        <v>3</v>
      </c>
      <c r="O107" s="2">
        <f>AVERAGEA(O61:O106)</f>
        <v>3.3292354689907702E-4</v>
      </c>
      <c r="Q107" s="43" t="s">
        <v>35</v>
      </c>
      <c r="R107" s="43" t="s">
        <v>3</v>
      </c>
      <c r="S107" s="2">
        <f>AVERAGEA(S61:S106)</f>
        <v>-8.1409356279966906E-4</v>
      </c>
      <c r="Z107" s="14"/>
    </row>
    <row r="108" spans="1:26">
      <c r="B108" s="1" t="s">
        <v>13</v>
      </c>
      <c r="C108" s="2">
        <f>_xlfn.STDEV.S(C61:C106)</f>
        <v>1.1465816434826102E-2</v>
      </c>
      <c r="F108" s="1" t="s">
        <v>13</v>
      </c>
      <c r="G108" s="2">
        <f>_xlfn.STDEV.S(G61:G106)</f>
        <v>1.2118379311310263E-2</v>
      </c>
      <c r="J108" s="1" t="s">
        <v>13</v>
      </c>
      <c r="K108" s="2">
        <f>_xlfn.STDEV.S(K61:K106)</f>
        <v>2.4196782629144136E-2</v>
      </c>
      <c r="N108" s="1" t="s">
        <v>13</v>
      </c>
      <c r="O108" s="2">
        <f>_xlfn.STDEV.S(O61:O106)</f>
        <v>1.2981750098100216E-2</v>
      </c>
      <c r="Q108" s="26"/>
      <c r="R108" s="43" t="s">
        <v>13</v>
      </c>
      <c r="S108" s="2">
        <f>_xlfn.STDEV.S(S61:S106)</f>
        <v>1.6564933261216601E-2</v>
      </c>
      <c r="Z108" s="14"/>
    </row>
    <row r="109" spans="1:26">
      <c r="B109" t="s">
        <v>5</v>
      </c>
      <c r="C109" s="16">
        <f>_xlfn.COVARIANCE.S(C61:C106,W3:W48)</f>
        <v>8.1088324087139802E-6</v>
      </c>
      <c r="F109" t="s">
        <v>5</v>
      </c>
      <c r="G109" s="16">
        <f>_xlfn.COVARIANCE.S(G61:G106,W3:W48)</f>
        <v>1.8060451507547506E-5</v>
      </c>
      <c r="J109" t="s">
        <v>5</v>
      </c>
      <c r="K109" s="16">
        <f>_xlfn.COVARIANCE.S(K61:K106,W3:W48)</f>
        <v>9.4545753427026114E-5</v>
      </c>
      <c r="N109" t="s">
        <v>5</v>
      </c>
      <c r="O109" s="16">
        <f>_xlfn.COVARIANCE.S(O61:O106,W3:W48)</f>
        <v>1.8058045865674044E-5</v>
      </c>
      <c r="Q109" s="26"/>
      <c r="R109" t="s">
        <v>5</v>
      </c>
      <c r="S109" s="16">
        <f>_xlfn.COVARIANCE.S(S61:S106,W3:W48)</f>
        <v>4.511333789909422E-6</v>
      </c>
      <c r="Y109" s="3"/>
      <c r="Z109" s="14"/>
    </row>
    <row r="110" spans="1:26">
      <c r="B110" t="s">
        <v>6</v>
      </c>
      <c r="C110">
        <f>_xlfn.VAR.S(C61:C106)</f>
        <v>1.3146494651712835E-4</v>
      </c>
      <c r="F110" t="s">
        <v>6</v>
      </c>
      <c r="G110">
        <f>_xlfn.VAR.S(G61:G106)</f>
        <v>1.468551171327926E-4</v>
      </c>
      <c r="J110" t="s">
        <v>6</v>
      </c>
      <c r="K110">
        <f>_xlfn.VAR.S(K61:K106)</f>
        <v>5.8548428960205137E-4</v>
      </c>
      <c r="N110" t="s">
        <v>6</v>
      </c>
      <c r="O110">
        <f>_xlfn.VAR.S(O61:O106)</f>
        <v>1.6852583560952495E-4</v>
      </c>
      <c r="Q110" s="26"/>
      <c r="R110" s="26" t="s">
        <v>6</v>
      </c>
      <c r="S110">
        <f>_xlfn.VAR.S(S61:S106)</f>
        <v>2.7439701394856004E-4</v>
      </c>
      <c r="Y110" s="3"/>
      <c r="Z110" s="14"/>
    </row>
    <row r="111" spans="1:26">
      <c r="B111" t="s">
        <v>7</v>
      </c>
      <c r="C111">
        <f>C109/W52</f>
        <v>0.11923796017492129</v>
      </c>
      <c r="F111" t="s">
        <v>7</v>
      </c>
      <c r="G111" s="18">
        <v>0.71</v>
      </c>
      <c r="J111" t="s">
        <v>7</v>
      </c>
      <c r="K111" s="18">
        <v>0.32</v>
      </c>
      <c r="N111" t="s">
        <v>7</v>
      </c>
      <c r="O111" s="18">
        <v>0.45</v>
      </c>
      <c r="Q111" s="26"/>
      <c r="R111" s="26" t="s">
        <v>7</v>
      </c>
      <c r="S111" s="26">
        <v>0.26633781679825203</v>
      </c>
      <c r="Y111" s="3"/>
      <c r="Z111" s="14"/>
    </row>
    <row r="112" spans="1:26">
      <c r="B112" t="s">
        <v>9</v>
      </c>
      <c r="C112" s="18">
        <f>C107-(0.02%+C111*(-0.06%-0.02%))</f>
        <v>-3.290739556605175E-4</v>
      </c>
      <c r="F112" t="s">
        <v>9</v>
      </c>
      <c r="G112" s="18">
        <f>G107-(0.02%+G111*(-0.06%-0.02%))</f>
        <v>1.5215027773630269E-3</v>
      </c>
      <c r="J112" t="s">
        <v>9</v>
      </c>
      <c r="K112" s="18">
        <f>K107-(0.02%+K111*(-0.06%-0.02%))</f>
        <v>-4.3147085543482136E-3</v>
      </c>
      <c r="N112" t="s">
        <v>9</v>
      </c>
      <c r="O112" s="18">
        <f>O107-(0.02%+O111*(-0.06%-0.02%))</f>
        <v>4.9292354689907695E-4</v>
      </c>
      <c r="Q112" s="26"/>
      <c r="R112" t="s">
        <v>9</v>
      </c>
      <c r="S112" s="18">
        <v>2.5000000000000001E-3</v>
      </c>
      <c r="Y112" s="3"/>
      <c r="Z112" s="14"/>
    </row>
    <row r="113" spans="2:26">
      <c r="B113" t="s">
        <v>10</v>
      </c>
      <c r="C113" s="18">
        <f>(C107-0.02%)/C111</f>
        <v>-3.5598086647722605E-3</v>
      </c>
      <c r="F113" t="s">
        <v>10</v>
      </c>
      <c r="G113" s="18">
        <f>(G107-0.02%)/G111</f>
        <v>1.3429616582577848E-3</v>
      </c>
      <c r="J113" t="s">
        <v>10</v>
      </c>
      <c r="K113" s="18">
        <f>(K107-0.02%)/K111</f>
        <v>-1.4283464232338165E-2</v>
      </c>
      <c r="N113" t="s">
        <v>10</v>
      </c>
      <c r="O113" s="18">
        <f>(O107-0.02%)/O111</f>
        <v>2.9538565977572668E-4</v>
      </c>
      <c r="Q113" s="26"/>
      <c r="R113" s="26" t="s">
        <v>10</v>
      </c>
      <c r="S113" s="44">
        <v>2E-3</v>
      </c>
      <c r="Y113" s="3"/>
      <c r="Z113" s="14"/>
    </row>
    <row r="114" spans="2:26">
      <c r="B114" t="s">
        <v>11</v>
      </c>
      <c r="C114" s="18">
        <f>(C107-0.02%)/C108</f>
        <v>-3.7019982503050795E-2</v>
      </c>
      <c r="F114" t="s">
        <v>11</v>
      </c>
      <c r="G114" s="18">
        <f>(G107-0.02%)/G108</f>
        <v>7.8682367738160244E-2</v>
      </c>
      <c r="J114" t="s">
        <v>11</v>
      </c>
      <c r="K114" s="18">
        <f>(K107-0.02%)/K108</f>
        <v>-0.18889736806756127</v>
      </c>
      <c r="N114" t="s">
        <v>11</v>
      </c>
      <c r="O114" s="18">
        <f>(O107-0.02%)/O108</f>
        <v>1.0239262495010545E-2</v>
      </c>
      <c r="Q114" s="26"/>
      <c r="R114" s="26" t="s">
        <v>11</v>
      </c>
      <c r="S114" s="44">
        <v>0.22009999999999999</v>
      </c>
      <c r="Y114" s="3"/>
      <c r="Z114" s="14"/>
    </row>
    <row r="115" spans="2:26">
      <c r="Y115" s="3"/>
      <c r="Z115" s="14"/>
    </row>
    <row r="116" spans="2:26">
      <c r="Y116" s="3"/>
      <c r="Z116" s="14"/>
    </row>
    <row r="117" spans="2:26">
      <c r="Y117" s="3"/>
      <c r="Z117" s="14"/>
    </row>
    <row r="118" spans="2:26">
      <c r="Y118" s="3"/>
      <c r="Z118" s="14"/>
    </row>
    <row r="119" spans="2:26">
      <c r="Y119" s="3"/>
      <c r="Z119" s="14"/>
    </row>
    <row r="120" spans="2:26">
      <c r="Y120" s="3"/>
      <c r="Z120" s="14"/>
    </row>
    <row r="121" spans="2:26">
      <c r="Y121" s="3"/>
      <c r="Z121" s="14"/>
    </row>
    <row r="122" spans="2:26">
      <c r="Y122" s="3"/>
      <c r="Z122" s="14"/>
    </row>
    <row r="123" spans="2:26">
      <c r="Y123" s="3"/>
      <c r="Z123" s="14"/>
    </row>
    <row r="124" spans="2:26">
      <c r="Y124" s="3"/>
      <c r="Z124" s="14"/>
    </row>
    <row r="125" spans="2:26">
      <c r="Y125" s="3"/>
      <c r="Z125" s="14"/>
    </row>
    <row r="126" spans="2:26">
      <c r="Y126" s="3"/>
      <c r="Z126" s="14"/>
    </row>
    <row r="127" spans="2:26">
      <c r="Y127" s="3"/>
      <c r="Z127" s="14"/>
    </row>
    <row r="128" spans="2:26">
      <c r="Y128" s="3"/>
      <c r="Z128" s="14"/>
    </row>
    <row r="129" spans="25:26">
      <c r="Y129" s="3"/>
      <c r="Z129" s="14"/>
    </row>
    <row r="130" spans="25:26">
      <c r="Y130" s="3"/>
      <c r="Z130" s="14"/>
    </row>
    <row r="131" spans="25:26">
      <c r="Y131" s="3"/>
      <c r="Z131" s="14"/>
    </row>
    <row r="132" spans="25:26">
      <c r="Y132" s="3"/>
      <c r="Z132" s="14"/>
    </row>
    <row r="133" spans="25:26">
      <c r="Y133" s="3"/>
      <c r="Z133" s="14"/>
    </row>
    <row r="134" spans="25:26">
      <c r="Y134" s="3"/>
      <c r="Z134" s="14"/>
    </row>
    <row r="135" spans="25:26">
      <c r="Y135" s="3"/>
      <c r="Z135" s="14"/>
    </row>
    <row r="136" spans="25:26">
      <c r="Y136" s="3"/>
      <c r="Z136" s="14"/>
    </row>
    <row r="137" spans="25:26">
      <c r="Y137" s="3"/>
      <c r="Z137" s="14"/>
    </row>
    <row r="138" spans="25:26">
      <c r="Y138" s="3"/>
      <c r="Z138" s="14"/>
    </row>
    <row r="139" spans="25:26">
      <c r="Y139" s="3"/>
      <c r="Z139" s="14"/>
    </row>
    <row r="140" spans="25:26">
      <c r="Y140" s="3"/>
      <c r="Z140" s="14"/>
    </row>
    <row r="141" spans="25:26">
      <c r="Y141" s="3"/>
      <c r="Z141" s="14"/>
    </row>
    <row r="142" spans="25:26">
      <c r="Y142" s="3"/>
      <c r="Z142" s="14"/>
    </row>
    <row r="143" spans="25:26">
      <c r="Y143" s="3"/>
      <c r="Z143" s="14"/>
    </row>
    <row r="144" spans="25:26">
      <c r="Y144" s="3"/>
      <c r="Z144" s="14"/>
    </row>
    <row r="145" spans="25:26">
      <c r="Y145" s="3"/>
      <c r="Z145" s="14"/>
    </row>
    <row r="146" spans="25:26">
      <c r="Y146" s="3"/>
      <c r="Z146" s="14"/>
    </row>
    <row r="147" spans="25:26">
      <c r="Y147" s="3"/>
      <c r="Z147" s="14"/>
    </row>
    <row r="148" spans="25:26">
      <c r="Y148" s="3"/>
      <c r="Z148" s="14"/>
    </row>
    <row r="149" spans="25:26">
      <c r="Y149" s="3"/>
      <c r="Z149" s="14"/>
    </row>
    <row r="150" spans="25:26">
      <c r="Y150" s="3"/>
      <c r="Z150" s="14"/>
    </row>
    <row r="151" spans="25:26">
      <c r="Y151" s="3"/>
      <c r="Z151" s="14"/>
    </row>
    <row r="152" spans="25:26">
      <c r="Y152" s="3"/>
      <c r="Z152" s="14"/>
    </row>
    <row r="153" spans="25:26">
      <c r="Y153" s="3"/>
      <c r="Z153" s="14"/>
    </row>
    <row r="154" spans="25:26">
      <c r="Y154" s="3"/>
      <c r="Z154" s="14"/>
    </row>
    <row r="155" spans="25:26">
      <c r="Y155" s="3"/>
      <c r="Z155" s="14"/>
    </row>
    <row r="156" spans="25:26">
      <c r="Y156" s="3"/>
      <c r="Z156" s="14"/>
    </row>
    <row r="157" spans="25:26">
      <c r="Y157" s="3"/>
      <c r="Z157" s="14"/>
    </row>
    <row r="158" spans="25:26">
      <c r="Y158" s="3"/>
      <c r="Z158" s="14"/>
    </row>
    <row r="159" spans="25:26">
      <c r="Y159" s="3"/>
      <c r="Z159" s="14"/>
    </row>
    <row r="160" spans="25:26">
      <c r="Y160" s="3"/>
      <c r="Z160" s="14"/>
    </row>
    <row r="161" spans="12:27">
      <c r="Y161" s="3"/>
      <c r="Z161" s="14"/>
    </row>
    <row r="162" spans="12:27">
      <c r="Y162" s="3"/>
      <c r="Z162" s="14"/>
    </row>
    <row r="163" spans="12:27">
      <c r="Y163" s="3"/>
      <c r="Z163" s="14"/>
    </row>
    <row r="164" spans="12:27">
      <c r="Y164" s="3"/>
      <c r="Z164" s="14"/>
    </row>
    <row r="165" spans="12:27">
      <c r="L165" s="3"/>
      <c r="M165" s="14"/>
      <c r="N165" s="13"/>
      <c r="Z165"/>
      <c r="AA165"/>
    </row>
    <row r="166" spans="12:27">
      <c r="L166" s="3"/>
      <c r="M166" s="14"/>
      <c r="N166" s="13"/>
      <c r="Z166"/>
      <c r="AA166"/>
    </row>
    <row r="167" spans="12:27">
      <c r="L167" s="3"/>
      <c r="M167" s="14"/>
      <c r="N167" s="13"/>
      <c r="Z167"/>
      <c r="AA167"/>
    </row>
    <row r="168" spans="12:27">
      <c r="L168" s="3"/>
      <c r="M168" s="14"/>
      <c r="N168" s="13"/>
      <c r="Z168"/>
      <c r="AA168"/>
    </row>
    <row r="169" spans="12:27">
      <c r="L169" s="3"/>
      <c r="M169" s="14"/>
      <c r="N169" s="13"/>
      <c r="Z169"/>
      <c r="AA169"/>
    </row>
    <row r="170" spans="12:27">
      <c r="L170" s="3"/>
      <c r="M170" s="14"/>
      <c r="N170" s="13"/>
      <c r="Z170"/>
      <c r="AA170"/>
    </row>
    <row r="171" spans="12:27">
      <c r="L171" s="3"/>
      <c r="M171" s="14"/>
      <c r="N171" s="13"/>
      <c r="Z171"/>
      <c r="AA171"/>
    </row>
    <row r="172" spans="12:27">
      <c r="L172" s="3"/>
      <c r="M172" s="14"/>
      <c r="N172" s="13"/>
      <c r="Z172"/>
      <c r="AA172"/>
    </row>
    <row r="173" spans="12:27">
      <c r="L173" s="3"/>
      <c r="M173" s="14"/>
      <c r="N173" s="13"/>
      <c r="Z173"/>
      <c r="AA173"/>
    </row>
    <row r="174" spans="12:27">
      <c r="L174" s="3"/>
      <c r="M174" s="14"/>
      <c r="N174" s="13"/>
      <c r="Z174"/>
      <c r="AA174"/>
    </row>
    <row r="175" spans="12:27">
      <c r="L175" s="3"/>
      <c r="M175" s="14"/>
      <c r="N175" s="13"/>
      <c r="Z175"/>
      <c r="AA175"/>
    </row>
    <row r="176" spans="12:27">
      <c r="L176" s="3"/>
      <c r="M176" s="14"/>
      <c r="N176" s="13"/>
      <c r="Z176"/>
      <c r="AA176"/>
    </row>
    <row r="177" spans="12:27">
      <c r="L177" s="3"/>
      <c r="M177" s="14"/>
      <c r="N177" s="13"/>
      <c r="Z177"/>
      <c r="AA177"/>
    </row>
    <row r="178" spans="12:27">
      <c r="L178" s="3"/>
      <c r="M178" s="14"/>
      <c r="N178" s="13"/>
      <c r="Z178"/>
      <c r="AA178"/>
    </row>
    <row r="179" spans="12:27">
      <c r="L179" s="3"/>
      <c r="M179" s="14"/>
      <c r="N179" s="13"/>
      <c r="Z179"/>
      <c r="AA179"/>
    </row>
    <row r="180" spans="12:27">
      <c r="L180" s="3"/>
      <c r="M180" s="14"/>
      <c r="N180" s="13"/>
      <c r="Z180"/>
      <c r="AA180"/>
    </row>
    <row r="181" spans="12:27">
      <c r="L181" s="3"/>
      <c r="M181" s="14"/>
      <c r="N181" s="13"/>
      <c r="Z181"/>
      <c r="AA181"/>
    </row>
    <row r="182" spans="12:27">
      <c r="L182" s="3"/>
      <c r="M182" s="14"/>
      <c r="N182" s="13"/>
      <c r="Z182"/>
      <c r="AA182"/>
    </row>
    <row r="183" spans="12:27">
      <c r="L183" s="3"/>
      <c r="M183" s="14"/>
      <c r="N183" s="13"/>
      <c r="Z183"/>
      <c r="AA183"/>
    </row>
    <row r="184" spans="12:27">
      <c r="L184" s="3"/>
      <c r="M184" s="14"/>
      <c r="N184" s="13"/>
      <c r="Z184"/>
      <c r="AA184"/>
    </row>
    <row r="185" spans="12:27">
      <c r="L185" s="3"/>
      <c r="M185" s="14"/>
      <c r="N185" s="13"/>
      <c r="Z185"/>
      <c r="AA185"/>
    </row>
    <row r="186" spans="12:27">
      <c r="L186" s="3"/>
      <c r="M186" s="14"/>
      <c r="N186" s="13"/>
      <c r="Z186"/>
      <c r="AA186"/>
    </row>
    <row r="187" spans="12:27">
      <c r="L187" s="3"/>
      <c r="M187" s="14"/>
      <c r="N187" s="13"/>
      <c r="Z187"/>
      <c r="AA187"/>
    </row>
    <row r="188" spans="12:27">
      <c r="L188" s="3"/>
      <c r="M188" s="14"/>
      <c r="N188" s="13"/>
      <c r="Z188"/>
      <c r="AA188"/>
    </row>
    <row r="189" spans="12:27">
      <c r="L189" s="3"/>
      <c r="M189" s="14"/>
      <c r="N189" s="13"/>
      <c r="Z189"/>
      <c r="AA189"/>
    </row>
    <row r="190" spans="12:27">
      <c r="Y190" s="3"/>
      <c r="Z190" s="14"/>
    </row>
    <row r="191" spans="12:27">
      <c r="Y191" s="3"/>
      <c r="Z191" s="14"/>
    </row>
    <row r="192" spans="12:27">
      <c r="Y192" s="3"/>
      <c r="Z192" s="14"/>
    </row>
    <row r="193" spans="25:26">
      <c r="Y193" s="3"/>
      <c r="Z193" s="14"/>
    </row>
    <row r="194" spans="25:26">
      <c r="Y194" s="3"/>
      <c r="Z194" s="14"/>
    </row>
    <row r="195" spans="25:26">
      <c r="Y195" s="3"/>
      <c r="Z195" s="14"/>
    </row>
    <row r="196" spans="25:26">
      <c r="Y196" s="3"/>
      <c r="Z196" s="14"/>
    </row>
    <row r="197" spans="25:26">
      <c r="Y197" s="3"/>
      <c r="Z197" s="14"/>
    </row>
    <row r="198" spans="25:26">
      <c r="Y198" s="3"/>
      <c r="Z198" s="14"/>
    </row>
    <row r="199" spans="25:26">
      <c r="Y199" s="3"/>
      <c r="Z199" s="14"/>
    </row>
    <row r="200" spans="25:26">
      <c r="Y200" s="3"/>
      <c r="Z200" s="14"/>
    </row>
    <row r="201" spans="25:26">
      <c r="Y201" s="3"/>
      <c r="Z201" s="14"/>
    </row>
    <row r="202" spans="25:26">
      <c r="Y202" s="3"/>
      <c r="Z202" s="14"/>
    </row>
    <row r="203" spans="25:26">
      <c r="Y203" s="3"/>
      <c r="Z203" s="14"/>
    </row>
    <row r="204" spans="25:26">
      <c r="Y204" s="3"/>
      <c r="Z204" s="14"/>
    </row>
    <row r="205" spans="25:26">
      <c r="Y205" s="3"/>
      <c r="Z205" s="14"/>
    </row>
    <row r="206" spans="25:26">
      <c r="Y206" s="3"/>
      <c r="Z206" s="14"/>
    </row>
    <row r="207" spans="25:26">
      <c r="Y207" s="3"/>
      <c r="Z207" s="14"/>
    </row>
    <row r="208" spans="25:26">
      <c r="Y208" s="3"/>
      <c r="Z208" s="14"/>
    </row>
    <row r="209" spans="25:26">
      <c r="Y209" s="3"/>
      <c r="Z209" s="14"/>
    </row>
    <row r="210" spans="25:26">
      <c r="Y210" s="3"/>
      <c r="Z210" s="14"/>
    </row>
    <row r="211" spans="25:26">
      <c r="Y211" s="3"/>
      <c r="Z211" s="14"/>
    </row>
    <row r="212" spans="25:26">
      <c r="Y212" s="3"/>
      <c r="Z212" s="14"/>
    </row>
    <row r="213" spans="25:26">
      <c r="Y213" s="3"/>
      <c r="Z213" s="14"/>
    </row>
    <row r="214" spans="25:26">
      <c r="Y214" s="3"/>
      <c r="Z214" s="14"/>
    </row>
    <row r="215" spans="25:26">
      <c r="Y215" s="3"/>
      <c r="Z215" s="14"/>
    </row>
    <row r="216" spans="25:26">
      <c r="Y216" s="3"/>
      <c r="Z216" s="14"/>
    </row>
    <row r="217" spans="25:26">
      <c r="Y217" s="3"/>
      <c r="Z217" s="14"/>
    </row>
    <row r="218" spans="25:26">
      <c r="Y218" s="3"/>
      <c r="Z218" s="14"/>
    </row>
    <row r="219" spans="25:26">
      <c r="Y219" s="3"/>
      <c r="Z219" s="14"/>
    </row>
    <row r="220" spans="25:26">
      <c r="Y220" s="3"/>
      <c r="Z220" s="14"/>
    </row>
    <row r="221" spans="25:26">
      <c r="Y221" s="3"/>
      <c r="Z221" s="14"/>
    </row>
    <row r="222" spans="25:26">
      <c r="Y222" s="3"/>
      <c r="Z222" s="14"/>
    </row>
    <row r="223" spans="25:26">
      <c r="Y223" s="3"/>
      <c r="Z223" s="14"/>
    </row>
    <row r="224" spans="25:26">
      <c r="Y224" s="3"/>
      <c r="Z224" s="14"/>
    </row>
    <row r="225" spans="25:26">
      <c r="Y225" s="3"/>
      <c r="Z22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43A8-7EDB-E64E-87DD-F27B8DF51BFC}">
  <dimension ref="A1:N18"/>
  <sheetViews>
    <sheetView zoomScale="133" workbookViewId="0">
      <selection activeCell="I15" sqref="I15"/>
    </sheetView>
  </sheetViews>
  <sheetFormatPr baseColWidth="10" defaultColWidth="10.6640625" defaultRowHeight="16"/>
  <cols>
    <col min="4" max="4" width="11.33203125" bestFit="1" customWidth="1"/>
    <col min="6" max="7" width="12" bestFit="1" customWidth="1"/>
  </cols>
  <sheetData>
    <row r="1" spans="1:14" ht="19">
      <c r="A1" s="26"/>
      <c r="B1" s="82" t="s">
        <v>14</v>
      </c>
      <c r="C1" s="83"/>
      <c r="D1" s="84"/>
      <c r="E1" s="82" t="s">
        <v>15</v>
      </c>
      <c r="F1" s="83"/>
      <c r="G1" s="83"/>
      <c r="H1" s="84"/>
      <c r="I1" s="26"/>
    </row>
    <row r="2" spans="1:14">
      <c r="A2" s="26"/>
      <c r="B2" s="27" t="s">
        <v>6</v>
      </c>
      <c r="C2" s="27" t="s">
        <v>16</v>
      </c>
      <c r="D2" s="27" t="s">
        <v>7</v>
      </c>
      <c r="E2" s="27" t="s">
        <v>17</v>
      </c>
      <c r="F2" s="27" t="s">
        <v>9</v>
      </c>
      <c r="G2" s="27" t="s">
        <v>18</v>
      </c>
      <c r="H2" s="27" t="s">
        <v>10</v>
      </c>
      <c r="I2" s="27" t="s">
        <v>19</v>
      </c>
    </row>
    <row r="3" spans="1:14">
      <c r="A3" s="28" t="s">
        <v>12</v>
      </c>
      <c r="B3" s="34">
        <v>1.4122292426711929E-4</v>
      </c>
      <c r="C3" s="30">
        <f>SQRT(B3)</f>
        <v>1.1883725184769264E-2</v>
      </c>
      <c r="D3" s="34">
        <v>0.96222553648470022</v>
      </c>
      <c r="E3" s="30">
        <f>'Indv. stocks'!C49</f>
        <v>-1.3900006725073466E-3</v>
      </c>
      <c r="F3" s="36">
        <f>'Indv. stocks'!C54</f>
        <v>-1.1996057334662778E-3</v>
      </c>
      <c r="G3" s="36">
        <f>'Indv. stocks'!C56</f>
        <v>-0.13379648618475001</v>
      </c>
      <c r="H3" s="36">
        <f>'Indv. stocks'!C55</f>
        <v>-1.6524199496056799E-3</v>
      </c>
      <c r="I3" s="37">
        <v>0.06</v>
      </c>
      <c r="M3" s="20"/>
      <c r="N3" s="21"/>
    </row>
    <row r="4" spans="1:14">
      <c r="A4" s="28" t="s">
        <v>29</v>
      </c>
      <c r="B4" s="34">
        <v>8.3758005709934065E-5</v>
      </c>
      <c r="C4" s="30">
        <f t="shared" ref="C4:C14" si="0">SQRT(B4)</f>
        <v>9.1519399970680562E-3</v>
      </c>
      <c r="D4" s="39">
        <v>0.54</v>
      </c>
      <c r="E4" s="30">
        <f>'Indv. stocks'!K49</f>
        <v>-1.7117164564925905E-3</v>
      </c>
      <c r="F4" s="36">
        <f>'Indv. stocks'!K54</f>
        <v>-1.4797164564925905E-3</v>
      </c>
      <c r="G4" s="36">
        <f>'Indv. stocks'!K56</f>
        <v>-0.20888647184149306</v>
      </c>
      <c r="H4" s="36">
        <f>'Indv. stocks'!K55</f>
        <v>-3.5402156601714637E-3</v>
      </c>
      <c r="I4" s="37">
        <v>0.11</v>
      </c>
      <c r="M4" s="20"/>
      <c r="N4" s="21"/>
    </row>
    <row r="5" spans="1:14">
      <c r="A5" s="28" t="s">
        <v>31</v>
      </c>
      <c r="B5" s="34">
        <v>1.1042924504337433E-4</v>
      </c>
      <c r="C5" s="30">
        <f t="shared" si="0"/>
        <v>1.0508532011816604E-2</v>
      </c>
      <c r="D5" s="39">
        <v>0.43</v>
      </c>
      <c r="E5" s="30">
        <f>'Indv. stocks'!O49</f>
        <v>1.3118217787001138E-3</v>
      </c>
      <c r="F5" s="36">
        <f>'Indv. stocks'!O54</f>
        <v>1.4558217787001139E-3</v>
      </c>
      <c r="G5" s="36">
        <f>'Indv. stocks'!O56</f>
        <v>0.10580181679514281</v>
      </c>
      <c r="H5" s="36">
        <f>'Indv. stocks'!O55</f>
        <v>2.5856320434886368E-3</v>
      </c>
      <c r="I5" s="37">
        <v>0.11</v>
      </c>
      <c r="M5" s="20"/>
      <c r="N5" s="21"/>
    </row>
    <row r="6" spans="1:14">
      <c r="A6" s="28" t="s">
        <v>33</v>
      </c>
      <c r="B6" s="34">
        <v>2.5041646751750761E-4</v>
      </c>
      <c r="C6" s="30">
        <f t="shared" si="0"/>
        <v>1.5824552679855049E-2</v>
      </c>
      <c r="D6" s="39">
        <v>0.54</v>
      </c>
      <c r="E6" s="30">
        <f>'Indv. stocks'!S49</f>
        <v>1.7872687287953182E-3</v>
      </c>
      <c r="F6" s="36">
        <f>'Indv. stocks'!S54</f>
        <v>2.0192687287953182E-3</v>
      </c>
      <c r="G6" s="36">
        <f>'Indv. stocks'!S56</f>
        <v>0.10030417673770588</v>
      </c>
      <c r="H6" s="36">
        <f>'Indv. stocks'!S55</f>
        <v>2.9393865348061447E-3</v>
      </c>
      <c r="I6" s="37">
        <v>0.115</v>
      </c>
      <c r="M6" s="20"/>
      <c r="N6" s="21"/>
    </row>
    <row r="7" spans="1:14">
      <c r="A7" s="28" t="s">
        <v>35</v>
      </c>
      <c r="B7" s="34">
        <v>4.511333789909422E-6</v>
      </c>
      <c r="C7" s="30">
        <f t="shared" si="0"/>
        <v>2.1239900635147573E-3</v>
      </c>
      <c r="D7" s="26">
        <v>0.26633781679825203</v>
      </c>
      <c r="E7" s="30">
        <f>'Indv. stocks'!S107</f>
        <v>-8.1409356279966906E-4</v>
      </c>
      <c r="F7" s="36">
        <f>'Indv. stocks'!S112</f>
        <v>2.5000000000000001E-3</v>
      </c>
      <c r="G7" s="36">
        <f>'Indv. stocks'!S114</f>
        <v>0.22009999999999999</v>
      </c>
      <c r="H7" s="36">
        <f>'Indv. stocks'!S113</f>
        <v>2E-3</v>
      </c>
      <c r="I7" s="37">
        <v>0.115</v>
      </c>
      <c r="M7" s="20"/>
      <c r="N7" s="21"/>
    </row>
    <row r="8" spans="1:14">
      <c r="A8" s="28" t="s">
        <v>41</v>
      </c>
      <c r="B8" s="34">
        <v>5.8548428960205137E-4</v>
      </c>
      <c r="C8" s="30">
        <f t="shared" si="0"/>
        <v>2.4196782629144136E-2</v>
      </c>
      <c r="D8" s="39">
        <v>0.32</v>
      </c>
      <c r="E8" s="30">
        <f>'Indv. stocks'!K107</f>
        <v>-4.3707085543482132E-3</v>
      </c>
      <c r="F8" s="36">
        <f>'Indv. stocks'!K112</f>
        <v>-4.3147085543482136E-3</v>
      </c>
      <c r="G8" s="36">
        <f>'Indv. stocks'!K114</f>
        <v>-0.18889736806756127</v>
      </c>
      <c r="H8" s="36">
        <f>'Indv. stocks'!K113</f>
        <v>-1.4283464232338165E-2</v>
      </c>
      <c r="I8" s="37">
        <v>0.115</v>
      </c>
      <c r="M8" s="20"/>
      <c r="N8" s="21"/>
    </row>
    <row r="9" spans="1:14">
      <c r="A9" s="28" t="s">
        <v>43</v>
      </c>
      <c r="B9" s="34">
        <v>1.6852583560952495E-4</v>
      </c>
      <c r="C9" s="30">
        <f t="shared" si="0"/>
        <v>1.2981750098100216E-2</v>
      </c>
      <c r="D9" s="39">
        <v>0.45</v>
      </c>
      <c r="E9" s="30">
        <f>'Indv. stocks'!O107</f>
        <v>3.3292354689907702E-4</v>
      </c>
      <c r="F9" s="36">
        <f>'Indv. stocks'!O112</f>
        <v>4.9292354689907695E-4</v>
      </c>
      <c r="G9" s="36">
        <f>'Indv. stocks'!O114</f>
        <v>1.0239262495010545E-2</v>
      </c>
      <c r="H9" s="36">
        <f>'Indv. stocks'!O113</f>
        <v>2.9538565977572668E-4</v>
      </c>
      <c r="I9" s="37">
        <v>0.115</v>
      </c>
      <c r="M9" s="20"/>
      <c r="N9" s="21"/>
    </row>
    <row r="10" spans="1:14">
      <c r="A10" s="28" t="s">
        <v>27</v>
      </c>
      <c r="B10" s="34">
        <v>6.3880276358203305E-4</v>
      </c>
      <c r="C10" s="30">
        <f t="shared" si="0"/>
        <v>2.5274547742383701E-2</v>
      </c>
      <c r="D10" s="34">
        <v>2.2089548671713022</v>
      </c>
      <c r="E10" s="30">
        <f>'Indv. stocks'!G49</f>
        <v>1.2826790078878005E-3</v>
      </c>
      <c r="F10" s="36">
        <f>'Indv. stocks'!G54</f>
        <v>2.8498429016248421E-3</v>
      </c>
      <c r="G10" s="36">
        <f>'Indv. stocks'!G56</f>
        <v>4.2836731201809843E-2</v>
      </c>
      <c r="H10" s="36">
        <f>'Indv. stocks'!G55</f>
        <v>4.9013179217836857E-4</v>
      </c>
      <c r="I10" s="37">
        <v>0.06</v>
      </c>
      <c r="M10" s="20"/>
      <c r="N10" s="21"/>
    </row>
    <row r="11" spans="1:14">
      <c r="A11" s="28" t="s">
        <v>37</v>
      </c>
      <c r="B11" s="34">
        <v>1.3146494651712835E-4</v>
      </c>
      <c r="C11" s="30">
        <f t="shared" si="0"/>
        <v>1.1465816434826102E-2</v>
      </c>
      <c r="D11" s="34">
        <v>0.11923796017492129</v>
      </c>
      <c r="E11" s="30">
        <f>'Indv. stocks'!C107</f>
        <v>-2.2446432380045453E-4</v>
      </c>
      <c r="F11" s="36">
        <f>'Indv. stocks'!C112</f>
        <v>-3.290739556605175E-4</v>
      </c>
      <c r="G11" s="36">
        <f>'Indv. stocks'!C114</f>
        <v>-3.7019982503050795E-2</v>
      </c>
      <c r="H11" s="36">
        <f>'Indv. stocks'!C113</f>
        <v>-3.5598086647722605E-3</v>
      </c>
      <c r="I11" s="37">
        <v>0.1</v>
      </c>
      <c r="M11" s="20"/>
      <c r="N11" s="21"/>
    </row>
    <row r="12" spans="1:14">
      <c r="A12" s="28" t="s">
        <v>39</v>
      </c>
      <c r="B12" s="34">
        <v>1.468551171327926E-4</v>
      </c>
      <c r="C12" s="30">
        <f t="shared" si="0"/>
        <v>1.2118379311310263E-2</v>
      </c>
      <c r="D12" s="39">
        <v>0.71</v>
      </c>
      <c r="E12" s="30">
        <f>'Indv. stocks'!G107</f>
        <v>1.1535027773630271E-3</v>
      </c>
      <c r="F12" s="36">
        <f>'Indv. stocks'!G112</f>
        <v>1.5215027773630269E-3</v>
      </c>
      <c r="G12" s="36">
        <f>'Indv. stocks'!G114</f>
        <v>7.8682367738160244E-2</v>
      </c>
      <c r="H12" s="36">
        <f>'Indv. stocks'!G113</f>
        <v>1.3429616582577848E-3</v>
      </c>
      <c r="I12" s="37">
        <v>0.1</v>
      </c>
      <c r="M12" s="20"/>
      <c r="N12" s="21"/>
    </row>
    <row r="13" spans="1:14">
      <c r="A13" s="28" t="s">
        <v>20</v>
      </c>
      <c r="B13" s="35">
        <v>6.8005460650436968E-5</v>
      </c>
      <c r="C13" s="30">
        <f t="shared" si="0"/>
        <v>8.2465423451551483E-3</v>
      </c>
      <c r="D13" s="35">
        <v>1</v>
      </c>
      <c r="E13" s="29">
        <f>'Indv. stocks'!W49</f>
        <v>-2.0380723659881126E-4</v>
      </c>
      <c r="F13" s="36">
        <f>'Indv. stocks'!W54</f>
        <v>3.9619276340118869E-4</v>
      </c>
      <c r="G13" s="33">
        <f>'Indv. stocks'!W56</f>
        <v>-4.8966854191447688E-2</v>
      </c>
      <c r="H13" s="33">
        <f>'Indv. stocks'!W55</f>
        <v>-4.0380723659881124E-4</v>
      </c>
      <c r="I13" s="37">
        <v>0</v>
      </c>
      <c r="M13" s="20"/>
      <c r="N13" s="21"/>
    </row>
    <row r="14" spans="1:14">
      <c r="A14" s="51" t="s">
        <v>21</v>
      </c>
      <c r="B14" s="52">
        <v>4.1289083073102898E-5</v>
      </c>
      <c r="C14" s="50">
        <f t="shared" si="0"/>
        <v>6.4256581820933256E-3</v>
      </c>
      <c r="D14" s="52">
        <v>0.56134333813864112</v>
      </c>
      <c r="E14" s="53">
        <f>'Indv. stocks'!AA49</f>
        <v>-2.4951034997619807E-4</v>
      </c>
      <c r="F14" s="55">
        <f>'Indv. stocks'!AA54</f>
        <v>-4.3567946528526996E-7</v>
      </c>
      <c r="G14" s="54">
        <f>'Indv. stocks'!AA56</f>
        <v>-6.9955534085032564E-2</v>
      </c>
      <c r="H14" s="54">
        <f>'Indv. stocks'!AA55</f>
        <v>-8.0077613723310553E-4</v>
      </c>
      <c r="I14" s="53">
        <f>SUM(I3:I13)</f>
        <v>1</v>
      </c>
    </row>
    <row r="15" spans="1:14">
      <c r="A15" s="38"/>
      <c r="B15" s="39"/>
    </row>
    <row r="18" spans="11:11">
      <c r="K18" t="s">
        <v>24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80DB-A287-404C-9269-0922EF0C94A9}">
  <dimension ref="A1:M35"/>
  <sheetViews>
    <sheetView topLeftCell="B1" zoomScale="125" workbookViewId="0">
      <selection activeCell="B18" sqref="B18"/>
    </sheetView>
  </sheetViews>
  <sheetFormatPr baseColWidth="10" defaultColWidth="10.83203125" defaultRowHeight="16"/>
  <cols>
    <col min="1" max="1" width="14.83203125" style="19" customWidth="1"/>
    <col min="2" max="2" width="35.33203125" style="19" bestFit="1" customWidth="1"/>
    <col min="3" max="3" width="9.83203125" style="19" customWidth="1"/>
    <col min="4" max="9" width="10.83203125" style="19"/>
    <col min="10" max="10" width="13.33203125" style="19" customWidth="1"/>
    <col min="11" max="11" width="20.1640625" style="19" bestFit="1" customWidth="1"/>
    <col min="12" max="12" width="19" style="19" bestFit="1" customWidth="1"/>
    <col min="13" max="13" width="16.6640625" style="19" bestFit="1" customWidth="1"/>
    <col min="14" max="16384" width="10.83203125" style="19"/>
  </cols>
  <sheetData>
    <row r="1" spans="1:13" s="23" customFormat="1">
      <c r="A1" s="25" t="s">
        <v>48</v>
      </c>
      <c r="B1" s="25" t="s">
        <v>49</v>
      </c>
      <c r="C1" s="25" t="s">
        <v>50</v>
      </c>
      <c r="D1" s="25" t="s">
        <v>51</v>
      </c>
      <c r="E1" s="25" t="s">
        <v>52</v>
      </c>
      <c r="F1" s="25" t="s">
        <v>53</v>
      </c>
      <c r="G1" s="25"/>
      <c r="H1" s="25" t="s">
        <v>54</v>
      </c>
      <c r="I1" s="25" t="s">
        <v>55</v>
      </c>
      <c r="J1" s="25" t="s">
        <v>56</v>
      </c>
      <c r="K1" s="25" t="s">
        <v>57</v>
      </c>
      <c r="L1" s="24" t="s">
        <v>58</v>
      </c>
      <c r="M1" s="24" t="s">
        <v>59</v>
      </c>
    </row>
    <row r="2" spans="1:13">
      <c r="A2" s="85" t="s">
        <v>29</v>
      </c>
      <c r="B2" s="86" t="s">
        <v>60</v>
      </c>
      <c r="C2" s="41">
        <v>68</v>
      </c>
      <c r="D2" s="22">
        <v>148.19</v>
      </c>
      <c r="E2" s="41">
        <v>160.33000000000001</v>
      </c>
      <c r="F2" s="41">
        <f>E2*C2</f>
        <v>10902.44</v>
      </c>
      <c r="G2" s="22"/>
      <c r="H2" s="87">
        <v>8.2000000000000007E-3</v>
      </c>
      <c r="I2" s="41">
        <f>(D2*C2)-F2</f>
        <v>-825.52000000000044</v>
      </c>
      <c r="J2" s="41">
        <f>D2*C2</f>
        <v>10076.92</v>
      </c>
      <c r="K2" s="22">
        <f>(J2-F2)/F2*100</f>
        <v>-7.5718829913303853</v>
      </c>
      <c r="L2" s="21">
        <f>C2*E2/$B$13</f>
        <v>0.11093915433423167</v>
      </c>
      <c r="M2" s="21">
        <f>J2/$B$12</f>
        <v>0.10398780989428597</v>
      </c>
    </row>
    <row r="3" spans="1:13">
      <c r="A3" s="85" t="s">
        <v>31</v>
      </c>
      <c r="B3" s="86" t="s">
        <v>61</v>
      </c>
      <c r="C3" s="22">
        <v>164</v>
      </c>
      <c r="D3" s="41">
        <v>71.209999999999994</v>
      </c>
      <c r="E3" s="41">
        <v>67.040000000000006</v>
      </c>
      <c r="F3" s="41">
        <f>E3*C3</f>
        <v>10994.560000000001</v>
      </c>
      <c r="G3" s="41"/>
      <c r="H3" s="88">
        <v>0.14000000000000001</v>
      </c>
      <c r="I3" s="41">
        <f t="shared" ref="I3:I7" si="0">(D3*C3)-F3</f>
        <v>683.87999999999738</v>
      </c>
      <c r="J3" s="41">
        <f t="shared" ref="J3:J11" si="1">D3*C3</f>
        <v>11678.439999999999</v>
      </c>
      <c r="K3" s="22">
        <f t="shared" ref="K3:K11" si="2">(J3-F3)/F3*100</f>
        <v>6.2201670644391163</v>
      </c>
      <c r="L3" s="21">
        <f t="shared" ref="L3:L11" si="3">C3*E3/$B$13</f>
        <v>0.11187653302168783</v>
      </c>
      <c r="M3" s="21">
        <f t="shared" ref="M3:M11" si="4">J3/$B$12</f>
        <v>0.12051454200110995</v>
      </c>
    </row>
    <row r="4" spans="1:13">
      <c r="A4" s="85" t="s">
        <v>33</v>
      </c>
      <c r="B4" s="86" t="s">
        <v>62</v>
      </c>
      <c r="C4" s="22">
        <v>159</v>
      </c>
      <c r="D4" s="41">
        <v>72.22</v>
      </c>
      <c r="E4" s="41">
        <v>66.52</v>
      </c>
      <c r="F4" s="41">
        <f t="shared" ref="F4:F11" si="5">E4*C4</f>
        <v>10576.679999999998</v>
      </c>
      <c r="G4" s="41"/>
      <c r="H4" s="89">
        <v>-0.11</v>
      </c>
      <c r="I4" s="41">
        <f t="shared" si="0"/>
        <v>906.30000000000109</v>
      </c>
      <c r="J4" s="41">
        <f t="shared" si="1"/>
        <v>11482.98</v>
      </c>
      <c r="K4" s="22">
        <f t="shared" si="2"/>
        <v>8.5688514732411409</v>
      </c>
      <c r="L4" s="21">
        <f t="shared" si="3"/>
        <v>0.10762434233655781</v>
      </c>
      <c r="M4" s="21">
        <f t="shared" si="4"/>
        <v>0.11849751126930529</v>
      </c>
    </row>
    <row r="5" spans="1:13">
      <c r="A5" s="85" t="s">
        <v>35</v>
      </c>
      <c r="B5" s="86" t="s">
        <v>63</v>
      </c>
      <c r="C5" s="22">
        <v>60</v>
      </c>
      <c r="D5" s="41">
        <v>182.66</v>
      </c>
      <c r="E5" s="41">
        <v>191.09</v>
      </c>
      <c r="F5" s="41">
        <f t="shared" si="5"/>
        <v>11465.4</v>
      </c>
      <c r="G5" s="41"/>
      <c r="H5" s="88">
        <v>1E-3</v>
      </c>
      <c r="I5" s="41">
        <f t="shared" si="0"/>
        <v>-505.79999999999927</v>
      </c>
      <c r="J5" s="41">
        <f t="shared" si="1"/>
        <v>10959.6</v>
      </c>
      <c r="K5" s="22">
        <f t="shared" si="2"/>
        <v>-4.411533832225647</v>
      </c>
      <c r="L5" s="21">
        <f t="shared" si="3"/>
        <v>0.11666762487146912</v>
      </c>
      <c r="M5" s="21">
        <f t="shared" si="4"/>
        <v>0.11309654153426013</v>
      </c>
    </row>
    <row r="6" spans="1:13">
      <c r="A6" s="85" t="s">
        <v>41</v>
      </c>
      <c r="B6" s="86" t="s">
        <v>64</v>
      </c>
      <c r="C6" s="22">
        <v>197</v>
      </c>
      <c r="D6" s="41">
        <v>47.6</v>
      </c>
      <c r="E6" s="41">
        <v>58.2</v>
      </c>
      <c r="F6" s="41">
        <f t="shared" si="5"/>
        <v>11465.400000000001</v>
      </c>
      <c r="G6" s="41"/>
      <c r="H6" s="88">
        <v>-2.86E-2</v>
      </c>
      <c r="I6" s="41">
        <f t="shared" si="0"/>
        <v>-2088.2000000000007</v>
      </c>
      <c r="J6" s="41">
        <f t="shared" si="1"/>
        <v>9377.2000000000007</v>
      </c>
      <c r="K6" s="22">
        <f t="shared" si="2"/>
        <v>-18.213058419243993</v>
      </c>
      <c r="L6" s="21">
        <f t="shared" si="3"/>
        <v>0.11666762487146913</v>
      </c>
      <c r="M6" s="21">
        <f t="shared" si="4"/>
        <v>9.6767116434456013E-2</v>
      </c>
    </row>
    <row r="7" spans="1:13">
      <c r="A7" s="85" t="s">
        <v>43</v>
      </c>
      <c r="B7" s="86" t="s">
        <v>65</v>
      </c>
      <c r="C7" s="22">
        <v>93</v>
      </c>
      <c r="D7" s="41">
        <v>124.36</v>
      </c>
      <c r="E7" s="41">
        <v>122.47</v>
      </c>
      <c r="F7" s="41">
        <f t="shared" si="5"/>
        <v>11389.71</v>
      </c>
      <c r="G7" s="41"/>
      <c r="H7" s="88">
        <v>-2.3199999999999998E-2</v>
      </c>
      <c r="I7" s="41">
        <f t="shared" si="0"/>
        <v>175.77000000000044</v>
      </c>
      <c r="J7" s="41">
        <f t="shared" si="1"/>
        <v>11565.48</v>
      </c>
      <c r="K7" s="22">
        <f t="shared" si="2"/>
        <v>1.5432350779782844</v>
      </c>
      <c r="L7" s="21">
        <f t="shared" si="3"/>
        <v>0.11589743172281999</v>
      </c>
      <c r="M7" s="21">
        <f t="shared" si="4"/>
        <v>0.11934886211026449</v>
      </c>
    </row>
    <row r="8" spans="1:13">
      <c r="A8" s="85" t="s">
        <v>12</v>
      </c>
      <c r="B8" s="86" t="s">
        <v>66</v>
      </c>
      <c r="C8" s="22">
        <v>11</v>
      </c>
      <c r="D8" s="41">
        <v>478.43</v>
      </c>
      <c r="E8" s="41">
        <v>510.02</v>
      </c>
      <c r="F8" s="41">
        <f t="shared" si="5"/>
        <v>5610.2199999999993</v>
      </c>
      <c r="G8" s="41"/>
      <c r="H8" s="88">
        <v>-1.78E-2</v>
      </c>
      <c r="I8" s="41">
        <v>12704.1</v>
      </c>
      <c r="J8" s="41">
        <f t="shared" si="1"/>
        <v>5262.7300000000005</v>
      </c>
      <c r="K8" s="22">
        <f t="shared" si="2"/>
        <v>-6.1938747500097842</v>
      </c>
      <c r="L8" s="21">
        <f t="shared" si="3"/>
        <v>5.7087501736216219E-2</v>
      </c>
      <c r="M8" s="21">
        <f t="shared" si="4"/>
        <v>5.4308237712014748E-2</v>
      </c>
    </row>
    <row r="9" spans="1:13">
      <c r="A9" s="85" t="s">
        <v>27</v>
      </c>
      <c r="B9" s="86" t="s">
        <v>67</v>
      </c>
      <c r="C9" s="22">
        <v>35</v>
      </c>
      <c r="D9" s="41">
        <v>180.64</v>
      </c>
      <c r="E9" s="41">
        <v>170.29</v>
      </c>
      <c r="F9" s="41">
        <f t="shared" si="5"/>
        <v>5960.15</v>
      </c>
      <c r="G9" s="41"/>
      <c r="H9" s="88">
        <v>-3.15E-2</v>
      </c>
      <c r="I9" s="41">
        <v>-743.4</v>
      </c>
      <c r="J9" s="41">
        <f t="shared" si="1"/>
        <v>6322.4</v>
      </c>
      <c r="K9" s="22">
        <f t="shared" si="2"/>
        <v>6.0778671677726237</v>
      </c>
      <c r="L9" s="21">
        <f t="shared" si="3"/>
        <v>6.0648258619645769E-2</v>
      </c>
      <c r="M9" s="21">
        <f t="shared" si="4"/>
        <v>6.5243400689460024E-2</v>
      </c>
    </row>
    <row r="10" spans="1:13">
      <c r="A10" s="85" t="s">
        <v>37</v>
      </c>
      <c r="B10" s="86" t="s">
        <v>68</v>
      </c>
      <c r="C10" s="22">
        <v>21</v>
      </c>
      <c r="D10" s="41">
        <v>468.26</v>
      </c>
      <c r="E10" s="41">
        <v>473.12</v>
      </c>
      <c r="F10" s="41">
        <f t="shared" si="5"/>
        <v>9935.52</v>
      </c>
      <c r="G10" s="41"/>
      <c r="H10" s="88">
        <v>-3.5000000000000001E-3</v>
      </c>
      <c r="I10" s="41">
        <v>19733.740000000002</v>
      </c>
      <c r="J10" s="41">
        <f t="shared" si="1"/>
        <v>9833.4599999999991</v>
      </c>
      <c r="K10" s="22">
        <f t="shared" si="2"/>
        <v>-1.0272235373689682</v>
      </c>
      <c r="L10" s="21">
        <f t="shared" si="3"/>
        <v>0.10110013782885716</v>
      </c>
      <c r="M10" s="21">
        <f t="shared" si="4"/>
        <v>0.10147544776410503</v>
      </c>
    </row>
    <row r="11" spans="1:13">
      <c r="A11" s="85" t="s">
        <v>39</v>
      </c>
      <c r="B11" s="86" t="s">
        <v>69</v>
      </c>
      <c r="C11" s="22">
        <v>163</v>
      </c>
      <c r="D11" s="41">
        <v>63.47</v>
      </c>
      <c r="E11" s="41">
        <v>61.19</v>
      </c>
      <c r="F11" s="41">
        <f t="shared" si="5"/>
        <v>9973.9699999999993</v>
      </c>
      <c r="G11" s="41"/>
      <c r="H11" s="88">
        <v>-1.12E-2</v>
      </c>
      <c r="I11" s="41">
        <v>-9903.33</v>
      </c>
      <c r="J11" s="41">
        <f t="shared" si="1"/>
        <v>10345.61</v>
      </c>
      <c r="K11" s="22">
        <f t="shared" si="2"/>
        <v>3.7260990357901744</v>
      </c>
      <c r="L11" s="21">
        <f t="shared" si="3"/>
        <v>0.10149139065704527</v>
      </c>
      <c r="M11" s="21">
        <f t="shared" si="4"/>
        <v>0.10676053059073844</v>
      </c>
    </row>
    <row r="12" spans="1:13">
      <c r="A12" s="20" t="s">
        <v>70</v>
      </c>
      <c r="B12" s="90">
        <f>SUM(J2:J12)</f>
        <v>96904.819999999992</v>
      </c>
      <c r="C12" s="22"/>
      <c r="D12" s="41"/>
      <c r="E12" s="41"/>
      <c r="F12" s="41"/>
      <c r="G12" s="41"/>
      <c r="H12" s="22"/>
      <c r="I12" s="41"/>
      <c r="J12" s="41"/>
      <c r="K12" s="22"/>
      <c r="L12" s="21"/>
      <c r="M12" s="21"/>
    </row>
    <row r="13" spans="1:13">
      <c r="A13" s="20" t="s">
        <v>71</v>
      </c>
      <c r="B13" s="90">
        <f>SUM(F2:F11)</f>
        <v>98274.05</v>
      </c>
      <c r="C13" s="22"/>
      <c r="D13" s="41"/>
      <c r="E13" s="41"/>
      <c r="F13" s="41"/>
      <c r="G13" s="41"/>
      <c r="H13" s="22"/>
      <c r="I13" s="41"/>
      <c r="J13" s="41"/>
      <c r="K13" s="22"/>
      <c r="L13" s="21"/>
      <c r="M13" s="21"/>
    </row>
    <row r="14" spans="1:13">
      <c r="A14" s="20"/>
      <c r="B14" s="22"/>
      <c r="C14" s="22"/>
      <c r="D14" s="41"/>
      <c r="E14" s="41"/>
      <c r="F14" s="41"/>
      <c r="G14" s="41"/>
      <c r="H14" s="22"/>
      <c r="I14" s="41"/>
      <c r="J14" s="41"/>
      <c r="K14" s="22"/>
      <c r="L14" s="21"/>
      <c r="M14" s="21"/>
    </row>
    <row r="15" spans="1:13">
      <c r="A15" s="20"/>
      <c r="B15" s="22"/>
      <c r="C15" s="22"/>
      <c r="D15" s="41"/>
      <c r="E15" s="41"/>
      <c r="F15" s="41"/>
      <c r="G15" s="41"/>
      <c r="H15" s="22"/>
      <c r="I15" s="41"/>
      <c r="J15" s="41"/>
      <c r="K15" s="22"/>
      <c r="L15" s="21"/>
      <c r="M15" s="21"/>
    </row>
    <row r="16" spans="1:13">
      <c r="A16" s="20"/>
      <c r="B16" s="22"/>
      <c r="C16" s="22"/>
      <c r="D16" s="41"/>
      <c r="E16" s="41"/>
      <c r="F16" s="41"/>
      <c r="G16" s="41"/>
      <c r="H16" s="22"/>
      <c r="I16" s="41"/>
      <c r="J16" s="41"/>
      <c r="K16" s="22"/>
      <c r="L16" s="21"/>
      <c r="M16" s="21"/>
    </row>
    <row r="17" spans="1:1">
      <c r="A17" s="20"/>
    </row>
    <row r="18" spans="1:1">
      <c r="A18" s="20"/>
    </row>
    <row r="21" spans="1:1">
      <c r="A21" s="20"/>
    </row>
    <row r="22" spans="1:1">
      <c r="A22" s="20"/>
    </row>
    <row r="23" spans="1:1">
      <c r="A23" s="20"/>
    </row>
    <row r="24" spans="1:1">
      <c r="A24" s="20"/>
    </row>
    <row r="25" spans="1:1">
      <c r="A25" s="20"/>
    </row>
    <row r="26" spans="1:1">
      <c r="A26" s="20"/>
    </row>
    <row r="27" spans="1:1">
      <c r="A27" s="20"/>
    </row>
    <row r="28" spans="1:1">
      <c r="A28" s="20"/>
    </row>
    <row r="29" spans="1:1">
      <c r="A29" s="20"/>
    </row>
    <row r="30" spans="1:1">
      <c r="A30" s="20"/>
    </row>
    <row r="31" spans="1:1">
      <c r="A31" s="20"/>
    </row>
    <row r="32" spans="1:1">
      <c r="A32" s="20"/>
    </row>
    <row r="33" spans="1:1">
      <c r="A33" s="20"/>
    </row>
    <row r="34" spans="1:1">
      <c r="A34" s="20"/>
    </row>
    <row r="35" spans="1:1">
      <c r="A35" s="20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4A1D-6D95-CB49-BFB7-2A37FE0AC925}">
  <dimension ref="A1:AM222"/>
  <sheetViews>
    <sheetView topLeftCell="H1" zoomScale="75" zoomScaleNormal="75" workbookViewId="0">
      <pane ySplit="1" topLeftCell="A2" activePane="bottomLeft" state="frozen"/>
      <selection pane="bottomLeft" activeCell="F62" sqref="F62"/>
    </sheetView>
  </sheetViews>
  <sheetFormatPr baseColWidth="10" defaultColWidth="10.6640625" defaultRowHeight="16"/>
  <cols>
    <col min="1" max="1" width="12.83203125" style="81" bestFit="1" customWidth="1"/>
    <col min="2" max="2" width="10.83203125" style="64" hidden="1" customWidth="1"/>
    <col min="3" max="3" width="13.1640625" bestFit="1" customWidth="1"/>
    <col min="4" max="4" width="11.33203125" customWidth="1"/>
    <col min="5" max="5" width="14" customWidth="1"/>
    <col min="6" max="6" width="13" customWidth="1"/>
    <col min="7" max="7" width="0" style="64" hidden="1" customWidth="1"/>
    <col min="8" max="8" width="14.33203125" customWidth="1"/>
    <col min="9" max="9" width="0" style="64" hidden="1" customWidth="1"/>
    <col min="10" max="10" width="12.83203125" customWidth="1"/>
    <col min="11" max="11" width="10.83203125" style="64" hidden="1" customWidth="1"/>
    <col min="12" max="12" width="15.1640625" customWidth="1"/>
    <col min="13" max="13" width="10.83203125" style="64" hidden="1" customWidth="1"/>
    <col min="14" max="14" width="12.33203125" customWidth="1"/>
    <col min="15" max="15" width="10.83203125" customWidth="1"/>
    <col min="16" max="16" width="12.5" customWidth="1"/>
    <col min="18" max="18" width="0" style="64" hidden="1" customWidth="1"/>
    <col min="20" max="20" width="0" style="64" hidden="1" customWidth="1"/>
    <col min="22" max="22" width="10.83203125" hidden="1" customWidth="1"/>
    <col min="23" max="23" width="10.83203125" style="64" hidden="1" customWidth="1"/>
    <col min="25" max="25" width="0" style="64" hidden="1" customWidth="1"/>
    <col min="27" max="27" width="0" hidden="1" customWidth="1"/>
    <col min="28" max="28" width="10.6640625" style="13"/>
    <col min="29" max="29" width="0" style="65" hidden="1" customWidth="1"/>
  </cols>
  <sheetData>
    <row r="1" spans="1:39" s="61" customFormat="1">
      <c r="A1" s="57" t="s">
        <v>0</v>
      </c>
      <c r="B1" s="58" t="s">
        <v>72</v>
      </c>
      <c r="C1" s="57" t="s">
        <v>30</v>
      </c>
      <c r="D1" s="57" t="s">
        <v>32</v>
      </c>
      <c r="E1" s="57" t="s">
        <v>34</v>
      </c>
      <c r="F1" s="57" t="s">
        <v>36</v>
      </c>
      <c r="G1" s="58" t="s">
        <v>72</v>
      </c>
      <c r="H1" s="57" t="s">
        <v>2</v>
      </c>
      <c r="I1" s="58" t="s">
        <v>72</v>
      </c>
      <c r="J1" s="57" t="s">
        <v>28</v>
      </c>
      <c r="K1" s="58" t="s">
        <v>72</v>
      </c>
      <c r="L1" s="57" t="s">
        <v>38</v>
      </c>
      <c r="M1" s="58" t="s">
        <v>72</v>
      </c>
      <c r="N1" s="57" t="s">
        <v>40</v>
      </c>
      <c r="O1" s="57" t="s">
        <v>42</v>
      </c>
      <c r="P1" s="57" t="s">
        <v>47</v>
      </c>
      <c r="Q1" s="57" t="s">
        <v>73</v>
      </c>
      <c r="R1" s="58" t="s">
        <v>1</v>
      </c>
      <c r="S1" s="57"/>
      <c r="T1" s="58" t="s">
        <v>1</v>
      </c>
      <c r="U1" s="57"/>
      <c r="V1" s="59" t="s">
        <v>0</v>
      </c>
      <c r="W1" s="58" t="s">
        <v>1</v>
      </c>
      <c r="X1" s="57"/>
      <c r="Y1" s="58" t="s">
        <v>1</v>
      </c>
      <c r="Z1" s="57"/>
      <c r="AA1" s="57" t="s">
        <v>74</v>
      </c>
      <c r="AB1" s="60"/>
      <c r="AC1" s="57" t="s">
        <v>0</v>
      </c>
    </row>
    <row r="2" spans="1:39" s="61" customFormat="1">
      <c r="A2" s="57"/>
      <c r="B2" s="58"/>
      <c r="C2" s="57"/>
      <c r="D2" s="57"/>
      <c r="E2" s="57"/>
      <c r="F2" s="57"/>
      <c r="G2" s="58"/>
      <c r="H2" s="57"/>
      <c r="I2" s="58"/>
      <c r="J2" s="57"/>
      <c r="K2" s="58"/>
      <c r="L2" s="57"/>
      <c r="M2" s="58"/>
      <c r="N2" s="57"/>
      <c r="O2" s="57"/>
      <c r="P2" s="57"/>
      <c r="Q2" s="57"/>
      <c r="R2" s="58"/>
      <c r="S2" s="57"/>
      <c r="T2" s="58"/>
      <c r="U2" s="57"/>
      <c r="V2" s="59"/>
      <c r="W2" s="58"/>
      <c r="X2" s="57"/>
      <c r="Y2" s="58"/>
      <c r="Z2" s="57"/>
      <c r="AA2" s="57"/>
      <c r="AB2" s="60"/>
      <c r="AC2" s="57"/>
    </row>
    <row r="3" spans="1:39">
      <c r="A3" s="1" t="s">
        <v>75</v>
      </c>
      <c r="B3" s="63">
        <v>67.243767000000005</v>
      </c>
      <c r="C3" s="2">
        <f>(AE4-AE4)</f>
        <v>0</v>
      </c>
      <c r="D3" s="13">
        <v>0</v>
      </c>
      <c r="E3" s="13">
        <v>0</v>
      </c>
      <c r="F3" s="13">
        <v>0</v>
      </c>
      <c r="G3" s="91">
        <v>18.5</v>
      </c>
      <c r="H3" s="13">
        <v>0</v>
      </c>
      <c r="I3" s="91">
        <v>965.59002699999996</v>
      </c>
      <c r="J3" s="13">
        <v>0</v>
      </c>
      <c r="K3" s="91">
        <v>27.874663999999999</v>
      </c>
      <c r="L3" s="13">
        <v>0</v>
      </c>
      <c r="M3" s="91">
        <v>122.67578899999999</v>
      </c>
      <c r="N3" s="13">
        <v>0</v>
      </c>
      <c r="O3" s="91">
        <v>0</v>
      </c>
      <c r="P3" s="13">
        <v>0</v>
      </c>
      <c r="Q3" s="92">
        <v>-1E-3</v>
      </c>
      <c r="R3" s="63">
        <v>125.050003</v>
      </c>
      <c r="T3" s="63">
        <v>34.200001</v>
      </c>
      <c r="Y3" s="63">
        <v>243.13000500000001</v>
      </c>
    </row>
    <row r="4" spans="1:39">
      <c r="A4" s="1" t="s">
        <v>76</v>
      </c>
      <c r="B4" s="63">
        <v>65.090744000000001</v>
      </c>
      <c r="C4" s="2">
        <f t="shared" ref="C4:F45" si="0">(AE5-AE4)/AE4</f>
        <v>1.9638382880749002E-3</v>
      </c>
      <c r="D4" s="66">
        <f t="shared" si="0"/>
        <v>-8.6515513126493512E-3</v>
      </c>
      <c r="E4" s="66">
        <f t="shared" si="0"/>
        <v>-2.826217678893559E-2</v>
      </c>
      <c r="F4" s="66">
        <f t="shared" si="0"/>
        <v>-1.0546854400675E-2</v>
      </c>
      <c r="G4" s="63">
        <v>17.870000999999998</v>
      </c>
      <c r="H4" s="66">
        <f t="shared" ref="H4:H45" si="1">(AI5-AI4)/AI4</f>
        <v>-3.0783106544841248E-3</v>
      </c>
      <c r="I4" s="63">
        <v>908.72997999999995</v>
      </c>
      <c r="J4" s="66">
        <f t="shared" ref="J4:J45" si="2">(AI5-AI4)/AI4</f>
        <v>-3.0783106544841248E-3</v>
      </c>
      <c r="K4" s="63">
        <v>27.401520000000001</v>
      </c>
      <c r="L4" s="66">
        <f t="shared" ref="L4:L45" si="3">(AJ5-AJ4)/AJ4</f>
        <v>1.0568143388569495E-3</v>
      </c>
      <c r="M4" s="63">
        <v>118.953186</v>
      </c>
      <c r="N4" s="66">
        <f t="shared" ref="N4:P45" si="4">(AK5-AK4)/AK4</f>
        <v>3.156670543279695E-3</v>
      </c>
      <c r="O4" s="66">
        <f t="shared" si="4"/>
        <v>7.0266528210453483E-2</v>
      </c>
      <c r="P4" s="66">
        <f t="shared" si="4"/>
        <v>-1.4697476933125877E-3</v>
      </c>
      <c r="Q4" s="92">
        <v>4.7999999999999996E-3</v>
      </c>
      <c r="R4" s="63"/>
      <c r="S4" s="66"/>
      <c r="T4" s="63"/>
      <c r="U4" s="66"/>
      <c r="X4" s="66"/>
      <c r="Y4" s="63"/>
      <c r="Z4" s="66"/>
      <c r="AA4" s="32"/>
      <c r="AC4" s="67">
        <v>42909</v>
      </c>
      <c r="AE4" s="1">
        <v>147.66999999999999</v>
      </c>
      <c r="AF4" s="1">
        <v>67.040000000000006</v>
      </c>
      <c r="AG4" s="93">
        <v>66.52</v>
      </c>
      <c r="AH4" s="93">
        <v>189.63</v>
      </c>
      <c r="AI4" s="93">
        <v>510.02</v>
      </c>
      <c r="AJ4" s="93">
        <v>473.12</v>
      </c>
      <c r="AK4" s="93">
        <v>60.19</v>
      </c>
      <c r="AL4" s="94">
        <v>57.78</v>
      </c>
      <c r="AM4" s="94">
        <v>122.47</v>
      </c>
    </row>
    <row r="5" spans="1:39">
      <c r="A5" s="1" t="s">
        <v>77</v>
      </c>
      <c r="B5" s="63">
        <v>65.591217</v>
      </c>
      <c r="C5" s="2">
        <f t="shared" si="0"/>
        <v>3.3792917004584307E-4</v>
      </c>
      <c r="D5" s="66">
        <f t="shared" si="0"/>
        <v>-4.5139933794744098E-4</v>
      </c>
      <c r="E5" s="66">
        <f t="shared" si="0"/>
        <v>-7.8898514851485947E-3</v>
      </c>
      <c r="F5" s="66">
        <f t="shared" si="0"/>
        <v>5.8626019293289682E-3</v>
      </c>
      <c r="G5" s="63">
        <v>18.02</v>
      </c>
      <c r="H5" s="66">
        <f t="shared" si="1"/>
        <v>1.8644901170223153E-2</v>
      </c>
      <c r="I5" s="63">
        <v>918.59002699999996</v>
      </c>
      <c r="J5" s="66">
        <f t="shared" si="2"/>
        <v>1.8644901170223153E-2</v>
      </c>
      <c r="K5" s="63">
        <v>27.205738</v>
      </c>
      <c r="L5" s="66">
        <f t="shared" si="3"/>
        <v>-1.4357501794687868E-3</v>
      </c>
      <c r="M5" s="63">
        <v>119.177994</v>
      </c>
      <c r="N5" s="66">
        <f t="shared" si="4"/>
        <v>-1.3746273600530066E-2</v>
      </c>
      <c r="O5" s="66">
        <f t="shared" si="4"/>
        <v>7.4385510996118004E-3</v>
      </c>
      <c r="P5" s="66">
        <f t="shared" si="4"/>
        <v>5.2334614441082719E-3</v>
      </c>
      <c r="Q5" s="92">
        <v>4.8999999999999998E-3</v>
      </c>
      <c r="R5" s="63"/>
      <c r="S5" s="66"/>
      <c r="T5" s="63"/>
      <c r="U5" s="66"/>
      <c r="X5" s="66"/>
      <c r="Y5" s="63"/>
      <c r="Z5" s="66"/>
      <c r="AA5" s="32"/>
      <c r="AC5" s="67">
        <v>42916</v>
      </c>
      <c r="AE5" s="1">
        <v>147.96</v>
      </c>
      <c r="AF5" s="1">
        <v>66.459999999999994</v>
      </c>
      <c r="AG5" s="93">
        <v>64.64</v>
      </c>
      <c r="AH5" s="93">
        <v>187.63</v>
      </c>
      <c r="AI5" s="93">
        <v>508.45</v>
      </c>
      <c r="AJ5" s="93">
        <v>473.62</v>
      </c>
      <c r="AK5" s="93">
        <v>60.38</v>
      </c>
      <c r="AL5" s="94">
        <v>61.84</v>
      </c>
      <c r="AM5" s="94">
        <v>122.29</v>
      </c>
    </row>
    <row r="6" spans="1:39">
      <c r="A6" s="1" t="s">
        <v>78</v>
      </c>
      <c r="B6" s="63">
        <v>68.726310999999995</v>
      </c>
      <c r="C6" s="2">
        <f t="shared" si="0"/>
        <v>3.5808391324910556E-3</v>
      </c>
      <c r="D6" s="66">
        <f t="shared" si="0"/>
        <v>-3.3117567364144671E-3</v>
      </c>
      <c r="E6" s="66">
        <f t="shared" si="0"/>
        <v>-2.3389989084671541E-3</v>
      </c>
      <c r="F6" s="66">
        <f t="shared" si="0"/>
        <v>1.1338949822497828E-2</v>
      </c>
      <c r="G6" s="63">
        <v>19.639999</v>
      </c>
      <c r="H6" s="66">
        <f t="shared" si="1"/>
        <v>-6.719054698511198E-3</v>
      </c>
      <c r="I6" s="63">
        <v>955.98999000000003</v>
      </c>
      <c r="J6" s="66">
        <f t="shared" si="2"/>
        <v>-6.719054698511198E-3</v>
      </c>
      <c r="K6" s="63">
        <v>27.271000000000001</v>
      </c>
      <c r="L6" s="66">
        <f t="shared" si="3"/>
        <v>1.5752526747578949E-2</v>
      </c>
      <c r="M6" s="63">
        <v>119.23194100000001</v>
      </c>
      <c r="N6" s="66">
        <f t="shared" si="4"/>
        <v>3.8623005877414609E-3</v>
      </c>
      <c r="O6" s="66">
        <f t="shared" si="4"/>
        <v>-3.6918138041733502E-2</v>
      </c>
      <c r="P6" s="66">
        <f t="shared" si="4"/>
        <v>3.4979256487431267E-3</v>
      </c>
      <c r="Q6" s="92">
        <v>4.4000000000000003E-3</v>
      </c>
      <c r="R6" s="63"/>
      <c r="S6" s="66"/>
      <c r="T6" s="63"/>
      <c r="U6" s="66"/>
      <c r="X6" s="66"/>
      <c r="Y6" s="63"/>
      <c r="Z6" s="66"/>
      <c r="AA6" s="32"/>
      <c r="AC6" s="67">
        <v>42923</v>
      </c>
      <c r="AE6" s="1">
        <v>148.01</v>
      </c>
      <c r="AF6" s="1">
        <v>66.430000000000007</v>
      </c>
      <c r="AG6" s="93">
        <v>64.13</v>
      </c>
      <c r="AH6" s="93">
        <v>188.73</v>
      </c>
      <c r="AI6" s="93">
        <v>517.92999999999995</v>
      </c>
      <c r="AJ6" s="93">
        <v>472.94</v>
      </c>
      <c r="AK6" s="93">
        <v>59.55</v>
      </c>
      <c r="AL6" s="94">
        <v>62.3</v>
      </c>
      <c r="AM6" s="94">
        <v>122.93</v>
      </c>
    </row>
    <row r="7" spans="1:39">
      <c r="A7" s="1" t="s">
        <v>79</v>
      </c>
      <c r="B7" s="63">
        <v>69.680060999999995</v>
      </c>
      <c r="C7" s="2">
        <f t="shared" si="0"/>
        <v>-2.046586777972258E-2</v>
      </c>
      <c r="D7" s="66">
        <f t="shared" si="0"/>
        <v>7.5517293460202395E-3</v>
      </c>
      <c r="E7" s="66">
        <f t="shared" si="0"/>
        <v>7.8149421694280585E-3</v>
      </c>
      <c r="F7" s="66">
        <f t="shared" si="0"/>
        <v>-8.3302771519882819E-3</v>
      </c>
      <c r="G7" s="63">
        <v>20.110001</v>
      </c>
      <c r="H7" s="66">
        <f t="shared" si="1"/>
        <v>-1.0146758674312424E-2</v>
      </c>
      <c r="I7" s="63">
        <v>972.919983</v>
      </c>
      <c r="J7" s="66">
        <f t="shared" si="2"/>
        <v>-1.0146758674312424E-2</v>
      </c>
      <c r="K7" s="63">
        <v>27.311786999999999</v>
      </c>
      <c r="L7" s="66">
        <f t="shared" si="3"/>
        <v>1.3072711755032431E-2</v>
      </c>
      <c r="M7" s="63">
        <v>121.668716</v>
      </c>
      <c r="N7" s="66">
        <f t="shared" si="4"/>
        <v>1.3382402141184295E-2</v>
      </c>
      <c r="O7" s="66">
        <f t="shared" si="4"/>
        <v>4.9999999999999524E-3</v>
      </c>
      <c r="P7" s="66">
        <f t="shared" si="4"/>
        <v>-4.3774319066148364E-3</v>
      </c>
      <c r="Q7" s="92">
        <v>-5.4999999999999997E-3</v>
      </c>
      <c r="R7" s="63"/>
      <c r="S7" s="66"/>
      <c r="T7" s="63"/>
      <c r="U7" s="66"/>
      <c r="X7" s="66"/>
      <c r="Y7" s="63"/>
      <c r="Z7" s="66"/>
      <c r="AA7" s="32"/>
      <c r="AC7" s="67">
        <v>42930</v>
      </c>
      <c r="AE7" s="1">
        <v>148.54</v>
      </c>
      <c r="AF7" s="1">
        <v>66.209999999999994</v>
      </c>
      <c r="AG7" s="93">
        <v>63.98</v>
      </c>
      <c r="AH7" s="93">
        <v>190.87</v>
      </c>
      <c r="AI7" s="93">
        <v>514.45000000000005</v>
      </c>
      <c r="AJ7" s="93">
        <v>480.39</v>
      </c>
      <c r="AK7" s="93">
        <v>59.78</v>
      </c>
      <c r="AL7" s="94">
        <v>60</v>
      </c>
      <c r="AM7" s="94">
        <v>123.36</v>
      </c>
    </row>
    <row r="8" spans="1:39">
      <c r="A8" s="1" t="s">
        <v>80</v>
      </c>
      <c r="B8" s="63">
        <v>68.971832000000006</v>
      </c>
      <c r="C8" s="2">
        <f t="shared" si="0"/>
        <v>1.0171821305841855E-2</v>
      </c>
      <c r="D8" s="66">
        <f t="shared" si="0"/>
        <v>-3.897466646679522E-3</v>
      </c>
      <c r="E8" s="66">
        <f t="shared" si="0"/>
        <v>6.9789081885856512E-3</v>
      </c>
      <c r="F8" s="66">
        <f t="shared" si="0"/>
        <v>7.9247675401524561E-4</v>
      </c>
      <c r="G8" s="63">
        <v>16.75</v>
      </c>
      <c r="H8" s="66">
        <f t="shared" si="1"/>
        <v>1.8066492547571019E-3</v>
      </c>
      <c r="I8" s="63">
        <v>941.53002900000001</v>
      </c>
      <c r="J8" s="66">
        <f t="shared" si="2"/>
        <v>1.8066492547571019E-3</v>
      </c>
      <c r="K8" s="63">
        <v>27.042583</v>
      </c>
      <c r="L8" s="66">
        <f t="shared" si="3"/>
        <v>-8.6300778761792569E-4</v>
      </c>
      <c r="M8" s="63">
        <v>118.55754899999999</v>
      </c>
      <c r="N8" s="66">
        <f t="shared" si="4"/>
        <v>1.4361175305381389E-2</v>
      </c>
      <c r="O8" s="66">
        <f t="shared" si="4"/>
        <v>-2.4046434494195617E-2</v>
      </c>
      <c r="P8" s="66">
        <f t="shared" si="4"/>
        <v>1.4655593551539394E-3</v>
      </c>
      <c r="Q8" s="92">
        <v>-2.8E-3</v>
      </c>
      <c r="R8" s="63"/>
      <c r="S8" s="66"/>
      <c r="T8" s="63"/>
      <c r="U8" s="66"/>
      <c r="X8" s="66"/>
      <c r="Y8" s="63"/>
      <c r="Z8" s="66"/>
      <c r="AA8" s="32"/>
      <c r="AC8" s="67">
        <v>42937</v>
      </c>
      <c r="AE8" s="1">
        <v>145.5</v>
      </c>
      <c r="AF8" s="1">
        <v>66.709999999999994</v>
      </c>
      <c r="AG8" s="93">
        <v>64.48</v>
      </c>
      <c r="AH8" s="93">
        <v>189.28</v>
      </c>
      <c r="AI8" s="93">
        <v>509.23</v>
      </c>
      <c r="AJ8" s="93">
        <v>486.67</v>
      </c>
      <c r="AK8" s="93">
        <v>60.58</v>
      </c>
      <c r="AL8" s="94">
        <v>60.3</v>
      </c>
      <c r="AM8" s="94">
        <v>122.82</v>
      </c>
    </row>
    <row r="9" spans="1:39">
      <c r="A9" s="1" t="s">
        <v>81</v>
      </c>
      <c r="B9" s="63">
        <v>68.631882000000004</v>
      </c>
      <c r="C9" s="2">
        <f t="shared" si="0"/>
        <v>-5.7830997414613852E-3</v>
      </c>
      <c r="D9" s="66">
        <f t="shared" si="0"/>
        <v>-7.0729872084273719E-3</v>
      </c>
      <c r="E9" s="66">
        <f t="shared" si="0"/>
        <v>-5.2364084398583612E-3</v>
      </c>
      <c r="F9" s="66">
        <f t="shared" si="0"/>
        <v>-2.9509581375706081E-2</v>
      </c>
      <c r="G9" s="63">
        <v>16.290001</v>
      </c>
      <c r="H9" s="66">
        <f t="shared" si="1"/>
        <v>-6.1158482799176803E-3</v>
      </c>
      <c r="I9" s="63">
        <v>927.96002199999998</v>
      </c>
      <c r="J9" s="66">
        <f t="shared" si="2"/>
        <v>-6.1158482799176803E-3</v>
      </c>
      <c r="K9" s="63">
        <v>27.442308000000001</v>
      </c>
      <c r="L9" s="66">
        <f t="shared" si="3"/>
        <v>-3.9280205655527504E-3</v>
      </c>
      <c r="M9" s="63">
        <v>119.753456</v>
      </c>
      <c r="N9" s="66">
        <f t="shared" si="4"/>
        <v>-8.1366965012211981E-4</v>
      </c>
      <c r="O9" s="66">
        <f t="shared" si="4"/>
        <v>-2.90569243840272E-2</v>
      </c>
      <c r="P9" s="66">
        <f t="shared" si="4"/>
        <v>-6.2601626016259839E-3</v>
      </c>
      <c r="Q9" s="92">
        <v>-5.0000000000000001E-3</v>
      </c>
      <c r="R9" s="63"/>
      <c r="S9" s="66"/>
      <c r="T9" s="63"/>
      <c r="U9" s="66"/>
      <c r="X9" s="66"/>
      <c r="Y9" s="63"/>
      <c r="Z9" s="66"/>
      <c r="AA9" s="32"/>
      <c r="AC9" s="67">
        <v>42944</v>
      </c>
      <c r="AE9" s="1">
        <v>146.97999999999999</v>
      </c>
      <c r="AF9" s="1">
        <v>66.45</v>
      </c>
      <c r="AG9" s="93">
        <v>64.930000000000007</v>
      </c>
      <c r="AH9" s="93">
        <v>189.43</v>
      </c>
      <c r="AI9" s="93">
        <v>510.15</v>
      </c>
      <c r="AJ9" s="93">
        <v>486.25</v>
      </c>
      <c r="AK9" s="93">
        <v>61.45</v>
      </c>
      <c r="AL9" s="94">
        <v>58.85</v>
      </c>
      <c r="AM9" s="94">
        <v>123</v>
      </c>
    </row>
    <row r="10" spans="1:39">
      <c r="A10" s="1" t="s">
        <v>82</v>
      </c>
      <c r="B10" s="63">
        <v>68.461913999999993</v>
      </c>
      <c r="C10" s="2">
        <f t="shared" si="0"/>
        <v>-2.3266954081982033E-3</v>
      </c>
      <c r="D10" s="66">
        <f t="shared" si="0"/>
        <v>-4.6983934525614167E-3</v>
      </c>
      <c r="E10" s="66">
        <f t="shared" si="0"/>
        <v>1.1611704598235021E-2</v>
      </c>
      <c r="F10" s="66">
        <f t="shared" si="0"/>
        <v>1.5393820713663969E-2</v>
      </c>
      <c r="G10" s="63">
        <v>15.92</v>
      </c>
      <c r="H10" s="66">
        <f t="shared" si="1"/>
        <v>8.7371555923712735E-3</v>
      </c>
      <c r="I10" s="63">
        <v>914.39001499999995</v>
      </c>
      <c r="J10" s="66">
        <f t="shared" si="2"/>
        <v>8.7371555923712735E-3</v>
      </c>
      <c r="K10" s="63">
        <v>27.389112000000001</v>
      </c>
      <c r="L10" s="66">
        <f t="shared" si="3"/>
        <v>6.4004624850312235E-3</v>
      </c>
      <c r="M10" s="63">
        <v>119.681534</v>
      </c>
      <c r="N10" s="66">
        <f t="shared" si="4"/>
        <v>1.1726384364820829E-2</v>
      </c>
      <c r="O10" s="66">
        <f t="shared" si="4"/>
        <v>-2.6951347567378353E-2</v>
      </c>
      <c r="P10" s="66">
        <f t="shared" si="4"/>
        <v>1.1617442526384698E-2</v>
      </c>
      <c r="Q10" s="92">
        <v>5.8999999999999999E-3</v>
      </c>
      <c r="R10" s="63"/>
      <c r="S10" s="66"/>
      <c r="T10" s="63"/>
      <c r="U10" s="66"/>
      <c r="X10" s="66"/>
      <c r="Y10" s="63"/>
      <c r="Z10" s="66"/>
      <c r="AA10" s="32"/>
      <c r="AC10" s="67">
        <v>42951</v>
      </c>
      <c r="AE10" s="1">
        <v>146.13</v>
      </c>
      <c r="AF10" s="1">
        <v>65.98</v>
      </c>
      <c r="AG10" s="93">
        <v>64.59</v>
      </c>
      <c r="AH10" s="93">
        <v>183.84</v>
      </c>
      <c r="AI10" s="93">
        <v>507.03</v>
      </c>
      <c r="AJ10" s="93">
        <v>484.34</v>
      </c>
      <c r="AK10" s="93">
        <v>61.4</v>
      </c>
      <c r="AL10" s="94">
        <v>57.14</v>
      </c>
      <c r="AM10" s="94">
        <v>122.23</v>
      </c>
    </row>
    <row r="11" spans="1:39">
      <c r="A11" s="1" t="s">
        <v>83</v>
      </c>
      <c r="B11" s="63">
        <v>68.452461</v>
      </c>
      <c r="C11" s="2">
        <f t="shared" si="0"/>
        <v>9.4656697990259664E-3</v>
      </c>
      <c r="D11" s="66">
        <f t="shared" si="0"/>
        <v>5.6342317648851005E-3</v>
      </c>
      <c r="E11" s="66">
        <f t="shared" si="0"/>
        <v>2.4793388429751918E-2</v>
      </c>
      <c r="F11" s="66">
        <f t="shared" si="0"/>
        <v>-2.1267477366475593E-2</v>
      </c>
      <c r="G11" s="63">
        <v>15.99</v>
      </c>
      <c r="H11" s="66">
        <f t="shared" si="1"/>
        <v>6.1392875298166881E-3</v>
      </c>
      <c r="I11" s="63">
        <v>910.669983</v>
      </c>
      <c r="J11" s="66">
        <f t="shared" si="2"/>
        <v>6.1392875298166881E-3</v>
      </c>
      <c r="K11" s="63">
        <v>26.911346000000002</v>
      </c>
      <c r="L11" s="66">
        <f t="shared" si="3"/>
        <v>9.3139668472017496E-3</v>
      </c>
      <c r="M11" s="63">
        <v>119.25889599999999</v>
      </c>
      <c r="N11" s="66">
        <f t="shared" si="4"/>
        <v>-2.2698003863489965E-2</v>
      </c>
      <c r="O11" s="66">
        <f t="shared" si="4"/>
        <v>-2.6258992805755409E-2</v>
      </c>
      <c r="P11" s="66">
        <f t="shared" si="4"/>
        <v>3.6393044884754436E-3</v>
      </c>
      <c r="Q11" s="92">
        <v>2.5999999999999999E-3</v>
      </c>
      <c r="R11" s="63"/>
      <c r="S11" s="66"/>
      <c r="T11" s="63"/>
      <c r="U11" s="66"/>
      <c r="X11" s="66"/>
      <c r="Y11" s="63"/>
      <c r="Z11" s="66"/>
      <c r="AA11" s="32"/>
      <c r="AC11" s="67">
        <v>42958</v>
      </c>
      <c r="AE11" s="1">
        <v>145.79</v>
      </c>
      <c r="AF11" s="1">
        <v>65.67</v>
      </c>
      <c r="AG11" s="93">
        <v>65.34</v>
      </c>
      <c r="AH11" s="93">
        <v>186.67</v>
      </c>
      <c r="AI11" s="93">
        <v>511.46</v>
      </c>
      <c r="AJ11" s="93">
        <v>487.44</v>
      </c>
      <c r="AK11" s="93">
        <v>62.12</v>
      </c>
      <c r="AL11" s="94">
        <v>55.6</v>
      </c>
      <c r="AM11" s="94">
        <v>123.65</v>
      </c>
    </row>
    <row r="12" spans="1:39">
      <c r="A12" s="1" t="s">
        <v>84</v>
      </c>
      <c r="B12" s="63">
        <v>69.130431999999999</v>
      </c>
      <c r="C12" s="2">
        <f t="shared" si="0"/>
        <v>5.775633620982692E-3</v>
      </c>
      <c r="D12" s="66">
        <f t="shared" si="0"/>
        <v>4.2398546335552225E-3</v>
      </c>
      <c r="E12" s="66">
        <f t="shared" si="0"/>
        <v>5.2270011947432582E-3</v>
      </c>
      <c r="F12" s="66">
        <f t="shared" si="0"/>
        <v>1.5982484948002279E-2</v>
      </c>
      <c r="G12" s="63">
        <v>16.649999999999999</v>
      </c>
      <c r="H12" s="66">
        <f t="shared" si="1"/>
        <v>6.5099106101827097E-3</v>
      </c>
      <c r="I12" s="63">
        <v>915.89001499999995</v>
      </c>
      <c r="J12" s="66">
        <f t="shared" si="2"/>
        <v>6.5099106101827097E-3</v>
      </c>
      <c r="K12" s="63">
        <v>27.504432999999999</v>
      </c>
      <c r="L12" s="66">
        <f t="shared" si="3"/>
        <v>1.46957193381844E-2</v>
      </c>
      <c r="M12" s="63">
        <v>118.40465500000001</v>
      </c>
      <c r="N12" s="66">
        <f t="shared" si="4"/>
        <v>-1.6801185966068246E-2</v>
      </c>
      <c r="O12" s="66">
        <f t="shared" si="4"/>
        <v>-2.401182120428566E-3</v>
      </c>
      <c r="P12" s="66">
        <f t="shared" si="4"/>
        <v>3.3360193392425581E-2</v>
      </c>
      <c r="Q12" s="92">
        <v>4.1000000000000003E-3</v>
      </c>
      <c r="R12" s="63"/>
      <c r="S12" s="66"/>
      <c r="T12" s="63"/>
      <c r="U12" s="66"/>
      <c r="X12" s="66"/>
      <c r="Y12" s="63"/>
      <c r="Z12" s="66"/>
      <c r="AA12" s="32"/>
      <c r="AC12" s="67">
        <v>42965</v>
      </c>
      <c r="AE12" s="1">
        <v>147.16999999999999</v>
      </c>
      <c r="AF12" s="1">
        <v>66.040000000000006</v>
      </c>
      <c r="AG12" s="93">
        <v>66.959999999999994</v>
      </c>
      <c r="AH12" s="93">
        <v>182.7</v>
      </c>
      <c r="AI12" s="93">
        <v>514.6</v>
      </c>
      <c r="AJ12" s="93">
        <v>491.98</v>
      </c>
      <c r="AK12" s="93">
        <v>60.71</v>
      </c>
      <c r="AL12" s="94">
        <v>54.14</v>
      </c>
      <c r="AM12" s="94">
        <v>124.1</v>
      </c>
    </row>
    <row r="13" spans="1:39">
      <c r="A13" s="1" t="s">
        <v>85</v>
      </c>
      <c r="B13" s="63">
        <v>70.193695000000005</v>
      </c>
      <c r="C13" s="2">
        <f t="shared" si="0"/>
        <v>1.5876232941494352E-2</v>
      </c>
      <c r="D13" s="66">
        <f t="shared" si="0"/>
        <v>6.9360675512667074E-3</v>
      </c>
      <c r="E13" s="66">
        <f t="shared" si="0"/>
        <v>1.7827960184222931E-3</v>
      </c>
      <c r="F13" s="66">
        <f t="shared" si="0"/>
        <v>9.5356103868116677E-3</v>
      </c>
      <c r="G13" s="63">
        <v>16.860001</v>
      </c>
      <c r="H13" s="66">
        <f t="shared" si="1"/>
        <v>3.3980113910608953E-3</v>
      </c>
      <c r="I13" s="63">
        <v>937.34002699999996</v>
      </c>
      <c r="J13" s="66">
        <f t="shared" si="2"/>
        <v>3.3980113910608953E-3</v>
      </c>
      <c r="K13" s="63">
        <v>27.973963000000001</v>
      </c>
      <c r="L13" s="66">
        <f t="shared" si="3"/>
        <v>-4.2066465014719163E-4</v>
      </c>
      <c r="M13" s="63">
        <v>118.56967899999999</v>
      </c>
      <c r="N13" s="66">
        <f t="shared" si="4"/>
        <v>1.2899983246775057E-2</v>
      </c>
      <c r="O13" s="66">
        <f t="shared" si="4"/>
        <v>3.7030179596371046E-2</v>
      </c>
      <c r="P13" s="66">
        <f t="shared" si="4"/>
        <v>2.7136618839675525E-2</v>
      </c>
      <c r="Q13" s="92">
        <v>3.3999999999999998E-3</v>
      </c>
      <c r="R13" s="63"/>
      <c r="S13" s="66"/>
      <c r="T13" s="63"/>
      <c r="U13" s="66"/>
      <c r="X13" s="66"/>
      <c r="Y13" s="63"/>
      <c r="Z13" s="66"/>
      <c r="AA13" s="32"/>
      <c r="AC13" s="67">
        <v>42972</v>
      </c>
      <c r="AE13" s="1">
        <v>148.02000000000001</v>
      </c>
      <c r="AF13" s="1">
        <v>66.319999999999993</v>
      </c>
      <c r="AG13" s="93">
        <v>67.31</v>
      </c>
      <c r="AH13" s="93">
        <v>185.62</v>
      </c>
      <c r="AI13" s="93">
        <v>517.95000000000005</v>
      </c>
      <c r="AJ13" s="93">
        <v>499.21</v>
      </c>
      <c r="AK13" s="93">
        <v>59.69</v>
      </c>
      <c r="AL13" s="94">
        <v>54.01</v>
      </c>
      <c r="AM13" s="94">
        <v>128.24</v>
      </c>
    </row>
    <row r="14" spans="1:39">
      <c r="A14" s="1" t="s">
        <v>86</v>
      </c>
      <c r="B14" s="63">
        <v>70.231682000000006</v>
      </c>
      <c r="C14" s="2">
        <f t="shared" si="0"/>
        <v>-5.2537075214470442E-3</v>
      </c>
      <c r="D14" s="66">
        <f t="shared" si="0"/>
        <v>-1.0182689427972548E-2</v>
      </c>
      <c r="E14" s="66">
        <f t="shared" si="0"/>
        <v>2.2245291413316246E-3</v>
      </c>
      <c r="F14" s="66">
        <f t="shared" si="0"/>
        <v>9.6056353060465787E-4</v>
      </c>
      <c r="G14" s="63">
        <v>17.450001</v>
      </c>
      <c r="H14" s="66">
        <f t="shared" si="1"/>
        <v>-7.6388755267361164E-3</v>
      </c>
      <c r="I14" s="63">
        <v>926.5</v>
      </c>
      <c r="J14" s="66">
        <f t="shared" si="2"/>
        <v>-7.6388755267361164E-3</v>
      </c>
      <c r="K14" s="63">
        <v>28.089283000000002</v>
      </c>
      <c r="L14" s="66">
        <f t="shared" si="3"/>
        <v>7.2144288577157044E-4</v>
      </c>
      <c r="M14" s="63">
        <v>118.524429</v>
      </c>
      <c r="N14" s="66">
        <f t="shared" si="4"/>
        <v>-1.6209063843863777E-2</v>
      </c>
      <c r="O14" s="66">
        <f t="shared" si="4"/>
        <v>5.1240849848241468E-2</v>
      </c>
      <c r="P14" s="66">
        <f t="shared" si="4"/>
        <v>-5.6938961433343456E-3</v>
      </c>
      <c r="Q14" s="92">
        <v>5.9999999999999995E-4</v>
      </c>
      <c r="R14" s="63"/>
      <c r="S14" s="66"/>
      <c r="T14" s="63"/>
      <c r="U14" s="66"/>
      <c r="X14" s="66"/>
      <c r="Y14" s="63"/>
      <c r="Z14" s="66"/>
      <c r="AA14" s="32"/>
      <c r="AC14" s="67">
        <v>42979</v>
      </c>
      <c r="AE14" s="1">
        <v>150.37</v>
      </c>
      <c r="AF14" s="1">
        <v>66.78</v>
      </c>
      <c r="AG14" s="93">
        <v>67.430000000000007</v>
      </c>
      <c r="AH14" s="93">
        <v>187.39</v>
      </c>
      <c r="AI14" s="93">
        <v>519.71</v>
      </c>
      <c r="AJ14" s="93">
        <v>499</v>
      </c>
      <c r="AK14" s="93">
        <v>60.46</v>
      </c>
      <c r="AL14" s="94">
        <v>56.01</v>
      </c>
      <c r="AM14" s="94">
        <v>131.72</v>
      </c>
    </row>
    <row r="15" spans="1:39">
      <c r="A15" s="1" t="s">
        <v>87</v>
      </c>
      <c r="B15" s="63">
        <v>71.494277999999994</v>
      </c>
      <c r="C15" s="2">
        <f t="shared" si="0"/>
        <v>-5.4151624548736607E-3</v>
      </c>
      <c r="D15" s="66">
        <f t="shared" si="0"/>
        <v>8.3207261724661339E-3</v>
      </c>
      <c r="E15" s="66">
        <f t="shared" si="0"/>
        <v>-6.0668836934003644E-3</v>
      </c>
      <c r="F15" s="66">
        <f t="shared" si="0"/>
        <v>3.2361251799328215E-2</v>
      </c>
      <c r="G15" s="63">
        <v>18.010000000000002</v>
      </c>
      <c r="H15" s="66">
        <f t="shared" si="1"/>
        <v>3.1217280024818969E-3</v>
      </c>
      <c r="I15" s="63">
        <v>920.28997800000002</v>
      </c>
      <c r="J15" s="66">
        <f t="shared" si="2"/>
        <v>3.1217280024818969E-3</v>
      </c>
      <c r="K15" s="63">
        <v>29.127188</v>
      </c>
      <c r="L15" s="66">
        <f t="shared" si="3"/>
        <v>1.0273149631528347E-2</v>
      </c>
      <c r="M15" s="63">
        <v>121.664467</v>
      </c>
      <c r="N15" s="66">
        <f t="shared" si="4"/>
        <v>3.8668459986550773E-3</v>
      </c>
      <c r="O15" s="66">
        <f t="shared" si="4"/>
        <v>2.0380434782608261E-3</v>
      </c>
      <c r="P15" s="66">
        <f t="shared" si="4"/>
        <v>1.0842177597923093E-2</v>
      </c>
      <c r="Q15" s="92">
        <v>1E-4</v>
      </c>
      <c r="R15" s="63"/>
      <c r="S15" s="66"/>
      <c r="T15" s="63"/>
      <c r="U15" s="66"/>
      <c r="X15" s="66"/>
      <c r="Y15" s="63"/>
      <c r="Z15" s="66"/>
      <c r="AA15" s="32"/>
      <c r="AC15" s="67">
        <v>42986</v>
      </c>
      <c r="AE15" s="1">
        <v>149.58000000000001</v>
      </c>
      <c r="AF15" s="1">
        <v>66.099999999999994</v>
      </c>
      <c r="AG15" s="93">
        <v>67.58</v>
      </c>
      <c r="AH15" s="93">
        <v>187.57</v>
      </c>
      <c r="AI15" s="93">
        <v>515.74</v>
      </c>
      <c r="AJ15" s="93">
        <v>499.36</v>
      </c>
      <c r="AK15" s="93">
        <v>59.48</v>
      </c>
      <c r="AL15" s="94">
        <v>58.88</v>
      </c>
      <c r="AM15" s="94">
        <v>130.97</v>
      </c>
    </row>
    <row r="16" spans="1:39">
      <c r="A16" s="1" t="s">
        <v>88</v>
      </c>
      <c r="B16" s="63">
        <v>70.639876999999998</v>
      </c>
      <c r="C16" s="2">
        <f t="shared" si="0"/>
        <v>1.7476641796060996E-2</v>
      </c>
      <c r="D16" s="66">
        <f t="shared" si="0"/>
        <v>-8.2520630157541085E-3</v>
      </c>
      <c r="E16" s="66">
        <f t="shared" si="0"/>
        <v>-1.1910078904272486E-3</v>
      </c>
      <c r="F16" s="66">
        <f t="shared" si="0"/>
        <v>2.5821111340637972E-4</v>
      </c>
      <c r="G16" s="63">
        <v>17.610001</v>
      </c>
      <c r="H16" s="66">
        <f t="shared" si="1"/>
        <v>2.1687445636416405E-2</v>
      </c>
      <c r="I16" s="63">
        <v>928.53002900000001</v>
      </c>
      <c r="J16" s="66">
        <f t="shared" si="2"/>
        <v>2.1687445636416405E-2</v>
      </c>
      <c r="K16" s="63">
        <v>29.621421999999999</v>
      </c>
      <c r="L16" s="66">
        <f t="shared" si="3"/>
        <v>1.9326448492537018E-2</v>
      </c>
      <c r="M16" s="63">
        <v>118.89546199999999</v>
      </c>
      <c r="N16" s="66">
        <f t="shared" si="4"/>
        <v>1.1723329425556905E-3</v>
      </c>
      <c r="O16" s="66">
        <f t="shared" si="4"/>
        <v>1.9152542372881401E-2</v>
      </c>
      <c r="P16" s="66">
        <f t="shared" si="4"/>
        <v>-1.0574816829064611E-3</v>
      </c>
      <c r="Q16" s="92">
        <v>3.5999999999999999E-3</v>
      </c>
      <c r="R16" s="63"/>
      <c r="S16" s="66"/>
      <c r="T16" s="63"/>
      <c r="U16" s="66"/>
      <c r="X16" s="66"/>
      <c r="Y16" s="63"/>
      <c r="Z16" s="66"/>
      <c r="AA16" s="32"/>
      <c r="AC16" s="67">
        <v>42993</v>
      </c>
      <c r="AE16" s="1">
        <v>148.77000000000001</v>
      </c>
      <c r="AF16" s="1">
        <v>66.650000000000006</v>
      </c>
      <c r="AG16" s="93">
        <v>67.17</v>
      </c>
      <c r="AH16" s="93">
        <v>193.64</v>
      </c>
      <c r="AI16" s="93">
        <v>517.35</v>
      </c>
      <c r="AJ16" s="93">
        <v>504.49</v>
      </c>
      <c r="AK16" s="93">
        <v>59.71</v>
      </c>
      <c r="AL16" s="94">
        <v>59</v>
      </c>
      <c r="AM16" s="94">
        <v>132.38999999999999</v>
      </c>
    </row>
    <row r="17" spans="1:39">
      <c r="A17" s="1" t="s">
        <v>89</v>
      </c>
      <c r="B17" s="63">
        <v>70.715828000000002</v>
      </c>
      <c r="C17" s="2">
        <f t="shared" si="0"/>
        <v>2.4443416793288267E-3</v>
      </c>
      <c r="D17" s="66">
        <f t="shared" si="0"/>
        <v>1.0438729198184751E-2</v>
      </c>
      <c r="E17" s="66">
        <f t="shared" si="0"/>
        <v>1.5799672082277571E-2</v>
      </c>
      <c r="F17" s="66">
        <f t="shared" si="0"/>
        <v>-4.0786824306881719E-3</v>
      </c>
      <c r="G17" s="63">
        <v>16.870000999999998</v>
      </c>
      <c r="H17" s="66">
        <f t="shared" si="1"/>
        <v>-8.6838072535331771E-3</v>
      </c>
      <c r="I17" s="63">
        <v>959.10998500000005</v>
      </c>
      <c r="J17" s="66">
        <f t="shared" si="2"/>
        <v>-8.6838072535331771E-3</v>
      </c>
      <c r="K17" s="63">
        <v>29.407254999999999</v>
      </c>
      <c r="L17" s="66">
        <f t="shared" si="3"/>
        <v>-6.1644368388301491E-3</v>
      </c>
      <c r="M17" s="63">
        <v>117.646683</v>
      </c>
      <c r="N17" s="66">
        <f t="shared" si="4"/>
        <v>-6.6912010705921475E-3</v>
      </c>
      <c r="O17" s="66">
        <f t="shared" si="4"/>
        <v>-1.1142524530184628E-2</v>
      </c>
      <c r="P17" s="66">
        <f t="shared" si="4"/>
        <v>-5.2930056710774184E-3</v>
      </c>
      <c r="Q17" s="92">
        <v>-3.8E-3</v>
      </c>
      <c r="R17" s="63"/>
      <c r="S17" s="66"/>
      <c r="T17" s="63"/>
      <c r="U17" s="66"/>
      <c r="X17" s="66"/>
      <c r="Y17" s="63"/>
      <c r="Z17" s="66"/>
      <c r="AA17" s="32"/>
      <c r="AC17" s="67">
        <v>43000</v>
      </c>
      <c r="AE17" s="1">
        <v>151.37</v>
      </c>
      <c r="AF17" s="1">
        <v>66.099999999999994</v>
      </c>
      <c r="AG17" s="93">
        <v>67.09</v>
      </c>
      <c r="AH17" s="93">
        <v>193.69</v>
      </c>
      <c r="AI17" s="93">
        <v>528.57000000000005</v>
      </c>
      <c r="AJ17" s="93">
        <v>514.24</v>
      </c>
      <c r="AK17" s="93">
        <v>59.78</v>
      </c>
      <c r="AL17" s="94">
        <v>60.13</v>
      </c>
      <c r="AM17" s="94">
        <v>132.25</v>
      </c>
    </row>
    <row r="18" spans="1:39">
      <c r="A18" s="1" t="s">
        <v>90</v>
      </c>
      <c r="B18" s="63">
        <v>72.149330000000006</v>
      </c>
      <c r="C18" s="2">
        <f t="shared" si="0"/>
        <v>4.9426650850138395E-3</v>
      </c>
      <c r="D18" s="66">
        <f t="shared" si="0"/>
        <v>-1.0031441832609697E-2</v>
      </c>
      <c r="E18" s="66">
        <f t="shared" si="0"/>
        <v>8.5106382978723145E-3</v>
      </c>
      <c r="F18" s="66">
        <f t="shared" si="0"/>
        <v>6.0134784862622944E-3</v>
      </c>
      <c r="G18" s="63">
        <v>17.850000000000001</v>
      </c>
      <c r="H18" s="66">
        <f t="shared" si="1"/>
        <v>1.6603687163632287E-3</v>
      </c>
      <c r="I18" s="63">
        <v>978.89001499999995</v>
      </c>
      <c r="J18" s="66">
        <f t="shared" si="2"/>
        <v>1.6603687163632287E-3</v>
      </c>
      <c r="K18" s="63">
        <v>29.695558999999999</v>
      </c>
      <c r="L18" s="66">
        <f t="shared" si="3"/>
        <v>5.772203416361729E-3</v>
      </c>
      <c r="M18" s="63">
        <v>120.551407</v>
      </c>
      <c r="N18" s="66">
        <f t="shared" si="4"/>
        <v>-4.8837992590097532E-3</v>
      </c>
      <c r="O18" s="66">
        <f t="shared" si="4"/>
        <v>5.8863101244534376E-3</v>
      </c>
      <c r="P18" s="66">
        <f t="shared" si="4"/>
        <v>5.7772709996198471E-3</v>
      </c>
      <c r="Q18" s="92">
        <v>5.7999999999999996E-3</v>
      </c>
      <c r="R18" s="63"/>
      <c r="S18" s="66"/>
      <c r="T18" s="63"/>
      <c r="U18" s="66"/>
      <c r="X18" s="66"/>
      <c r="Y18" s="63"/>
      <c r="Z18" s="66"/>
      <c r="AA18" s="32"/>
      <c r="AC18" s="67">
        <v>43007</v>
      </c>
      <c r="AE18" s="1">
        <v>151.74</v>
      </c>
      <c r="AF18" s="1">
        <v>66.790000000000006</v>
      </c>
      <c r="AG18" s="93">
        <v>68.150000000000006</v>
      </c>
      <c r="AH18" s="93">
        <v>192.9</v>
      </c>
      <c r="AI18" s="93">
        <v>523.98</v>
      </c>
      <c r="AJ18" s="93">
        <v>511.07</v>
      </c>
      <c r="AK18" s="93">
        <v>59.38</v>
      </c>
      <c r="AL18" s="94">
        <v>59.46</v>
      </c>
      <c r="AM18" s="94">
        <v>131.55000000000001</v>
      </c>
    </row>
    <row r="19" spans="1:39">
      <c r="A19" s="1" t="s">
        <v>91</v>
      </c>
      <c r="B19" s="63">
        <v>73.563843000000006</v>
      </c>
      <c r="C19" s="2">
        <f t="shared" si="0"/>
        <v>-1.8361859794084931E-3</v>
      </c>
      <c r="D19" s="66">
        <f t="shared" si="0"/>
        <v>3.7810042347247428E-3</v>
      </c>
      <c r="E19" s="66">
        <f t="shared" si="0"/>
        <v>4.3649061545176365E-3</v>
      </c>
      <c r="F19" s="66">
        <f t="shared" si="0"/>
        <v>-1.5201484077089501E-2</v>
      </c>
      <c r="G19" s="63">
        <v>18.629999000000002</v>
      </c>
      <c r="H19" s="66">
        <f t="shared" si="1"/>
        <v>-4.6680003810613416E-3</v>
      </c>
      <c r="I19" s="63">
        <v>989.67999299999997</v>
      </c>
      <c r="J19" s="66">
        <f t="shared" si="2"/>
        <v>-4.6680003810613416E-3</v>
      </c>
      <c r="K19" s="63">
        <v>29.934443999999999</v>
      </c>
      <c r="L19" s="66">
        <f t="shared" si="3"/>
        <v>-1.2178514454690462E-2</v>
      </c>
      <c r="M19" s="63">
        <v>123.45618399999999</v>
      </c>
      <c r="N19" s="66">
        <f t="shared" si="4"/>
        <v>-8.1232018954138421E-3</v>
      </c>
      <c r="O19" s="66">
        <f t="shared" si="4"/>
        <v>-1.4880454773449264E-2</v>
      </c>
      <c r="P19" s="66">
        <f t="shared" si="4"/>
        <v>-9.4475096364598291E-3</v>
      </c>
      <c r="Q19" s="92">
        <v>-2.8E-3</v>
      </c>
      <c r="R19" s="63"/>
      <c r="S19" s="66"/>
      <c r="T19" s="63"/>
      <c r="U19" s="66"/>
      <c r="X19" s="66"/>
      <c r="Y19" s="63"/>
      <c r="Z19" s="66"/>
      <c r="AA19" s="32"/>
      <c r="AC19" s="67">
        <v>43014</v>
      </c>
      <c r="AE19" s="1">
        <v>152.49</v>
      </c>
      <c r="AF19" s="1">
        <v>66.12</v>
      </c>
      <c r="AG19" s="93">
        <v>68.73</v>
      </c>
      <c r="AH19" s="93">
        <v>194.06</v>
      </c>
      <c r="AI19" s="93">
        <v>524.85</v>
      </c>
      <c r="AJ19" s="93">
        <v>514.02</v>
      </c>
      <c r="AK19" s="93">
        <v>59.09</v>
      </c>
      <c r="AL19" s="94">
        <v>59.81</v>
      </c>
      <c r="AM19" s="94">
        <v>132.31</v>
      </c>
    </row>
    <row r="20" spans="1:39">
      <c r="A20" s="1" t="s">
        <v>92</v>
      </c>
      <c r="B20" s="63">
        <v>74.816947999999996</v>
      </c>
      <c r="C20" s="2">
        <f t="shared" si="0"/>
        <v>-6.5698705735623986E-5</v>
      </c>
      <c r="D20" s="66">
        <f t="shared" si="0"/>
        <v>1.0094922404700944E-2</v>
      </c>
      <c r="E20" s="66">
        <f t="shared" si="0"/>
        <v>8.5470085470085964E-3</v>
      </c>
      <c r="F20" s="66">
        <f t="shared" si="0"/>
        <v>-2.3546648527027212E-3</v>
      </c>
      <c r="G20" s="63">
        <v>17.870000999999998</v>
      </c>
      <c r="H20" s="66">
        <f t="shared" si="1"/>
        <v>-2.1898928024502294E-2</v>
      </c>
      <c r="I20" s="63">
        <v>988.20001200000002</v>
      </c>
      <c r="J20" s="66">
        <f t="shared" si="2"/>
        <v>-2.1898928024502294E-2</v>
      </c>
      <c r="K20" s="63">
        <v>30.000340000000001</v>
      </c>
      <c r="L20" s="66">
        <f t="shared" si="3"/>
        <v>-5.3371671655900021E-3</v>
      </c>
      <c r="M20" s="63">
        <v>128.858429</v>
      </c>
      <c r="N20" s="66">
        <f t="shared" si="4"/>
        <v>-2.0815560484558931E-2</v>
      </c>
      <c r="O20" s="66">
        <f t="shared" si="4"/>
        <v>-5.4310930074677579E-3</v>
      </c>
      <c r="P20" s="66">
        <f t="shared" si="4"/>
        <v>-7.8589958797497406E-3</v>
      </c>
      <c r="Q20" s="92">
        <v>-2.7099999999999999E-2</v>
      </c>
      <c r="R20" s="63"/>
      <c r="S20" s="66"/>
      <c r="T20" s="63"/>
      <c r="U20" s="66"/>
      <c r="X20" s="66"/>
      <c r="Y20" s="63"/>
      <c r="Z20" s="66"/>
      <c r="AA20" s="32"/>
      <c r="AC20" s="67">
        <v>43021</v>
      </c>
      <c r="AE20" s="1">
        <v>152.21</v>
      </c>
      <c r="AF20" s="1">
        <v>66.37</v>
      </c>
      <c r="AG20" s="93">
        <v>69.03</v>
      </c>
      <c r="AH20" s="93">
        <v>191.11</v>
      </c>
      <c r="AI20" s="93">
        <v>522.4</v>
      </c>
      <c r="AJ20" s="93">
        <v>507.76</v>
      </c>
      <c r="AK20" s="93">
        <v>58.61</v>
      </c>
      <c r="AL20" s="94">
        <v>58.92</v>
      </c>
      <c r="AM20" s="94">
        <v>131.06</v>
      </c>
    </row>
    <row r="21" spans="1:39">
      <c r="A21" s="1" t="s">
        <v>93</v>
      </c>
      <c r="B21" s="63">
        <v>79.563605999999993</v>
      </c>
      <c r="C21" s="2">
        <f t="shared" si="0"/>
        <v>-3.810775295663496E-3</v>
      </c>
      <c r="D21" s="66">
        <f t="shared" si="0"/>
        <v>-3.5799522673032381E-3</v>
      </c>
      <c r="E21" s="66">
        <f t="shared" si="0"/>
        <v>-3.5478310830221182E-2</v>
      </c>
      <c r="F21" s="66">
        <f t="shared" si="0"/>
        <v>-1.5262771425574303E-2</v>
      </c>
      <c r="G21" s="63">
        <v>21.68</v>
      </c>
      <c r="H21" s="66">
        <f t="shared" si="1"/>
        <v>6.0474401127289324E-3</v>
      </c>
      <c r="I21" s="63">
        <v>1019.27002</v>
      </c>
      <c r="J21" s="66">
        <f t="shared" si="2"/>
        <v>6.0474401127289324E-3</v>
      </c>
      <c r="K21" s="63">
        <v>29.324883</v>
      </c>
      <c r="L21" s="66">
        <f t="shared" si="3"/>
        <v>-2.4156024156024697E-3</v>
      </c>
      <c r="M21" s="63">
        <v>128.29740899999999</v>
      </c>
      <c r="N21" s="66">
        <f t="shared" si="4"/>
        <v>3.4849276877505285E-3</v>
      </c>
      <c r="O21" s="66">
        <f t="shared" si="4"/>
        <v>-2.2184300341297002E-2</v>
      </c>
      <c r="P21" s="66">
        <f t="shared" si="4"/>
        <v>-6.9983849880796475E-3</v>
      </c>
      <c r="Q21" s="92">
        <v>1.5599999999999999E-2</v>
      </c>
      <c r="R21" s="63"/>
      <c r="S21" s="66"/>
      <c r="T21" s="63"/>
      <c r="U21" s="66"/>
      <c r="X21" s="66"/>
      <c r="Y21" s="63"/>
      <c r="Z21" s="66"/>
      <c r="AA21" s="32"/>
      <c r="AC21" s="67">
        <v>43028</v>
      </c>
      <c r="AE21" s="1">
        <v>152.19999999999999</v>
      </c>
      <c r="AF21" s="1">
        <v>67.040000000000006</v>
      </c>
      <c r="AG21" s="93">
        <v>69.62</v>
      </c>
      <c r="AH21" s="93">
        <v>190.66</v>
      </c>
      <c r="AI21" s="93">
        <v>510.96</v>
      </c>
      <c r="AJ21" s="93">
        <v>505.05</v>
      </c>
      <c r="AK21" s="93">
        <v>57.39</v>
      </c>
      <c r="AL21" s="94">
        <v>58.6</v>
      </c>
      <c r="AM21" s="94">
        <v>130.03</v>
      </c>
    </row>
    <row r="22" spans="1:39">
      <c r="A22" s="1" t="s">
        <v>94</v>
      </c>
      <c r="B22" s="63">
        <v>79.876907000000003</v>
      </c>
      <c r="C22" s="2">
        <f t="shared" si="0"/>
        <v>2.2424482258277495E-3</v>
      </c>
      <c r="D22" s="66">
        <f t="shared" si="0"/>
        <v>1.0628742514970179E-2</v>
      </c>
      <c r="E22" s="66">
        <f t="shared" si="0"/>
        <v>2.1742367833209139E-2</v>
      </c>
      <c r="F22" s="66">
        <f t="shared" si="0"/>
        <v>1.2250332889480148E-3</v>
      </c>
      <c r="G22" s="63">
        <v>19.899999999999999</v>
      </c>
      <c r="H22" s="66">
        <f t="shared" si="1"/>
        <v>-9.3376130726564453E-4</v>
      </c>
      <c r="I22" s="63">
        <v>1032.4799800000001</v>
      </c>
      <c r="J22" s="66">
        <f t="shared" si="2"/>
        <v>-9.3376130726564453E-4</v>
      </c>
      <c r="K22" s="63">
        <v>29.283695000000002</v>
      </c>
      <c r="L22" s="66">
        <f t="shared" si="3"/>
        <v>2.679475219816253E-3</v>
      </c>
      <c r="M22" s="63">
        <v>126.759064</v>
      </c>
      <c r="N22" s="66">
        <f t="shared" si="4"/>
        <v>1.3370376801527974E-2</v>
      </c>
      <c r="O22" s="66">
        <f t="shared" si="4"/>
        <v>-1.780104712041878E-2</v>
      </c>
      <c r="P22" s="66">
        <f t="shared" si="4"/>
        <v>8.8289962825277759E-3</v>
      </c>
      <c r="Q22" s="92">
        <v>-1.6000000000000001E-3</v>
      </c>
      <c r="R22" s="63"/>
      <c r="S22" s="66"/>
      <c r="T22" s="63"/>
      <c r="U22" s="66"/>
      <c r="X22" s="66"/>
      <c r="Y22" s="63"/>
      <c r="Z22" s="66"/>
      <c r="AA22" s="32"/>
      <c r="AC22" s="67">
        <v>43035</v>
      </c>
      <c r="AE22" s="1">
        <v>151.62</v>
      </c>
      <c r="AF22" s="1">
        <v>66.8</v>
      </c>
      <c r="AG22" s="93">
        <v>67.150000000000006</v>
      </c>
      <c r="AH22" s="93">
        <v>187.75</v>
      </c>
      <c r="AI22" s="93">
        <v>514.04999999999995</v>
      </c>
      <c r="AJ22" s="93">
        <v>503.83</v>
      </c>
      <c r="AK22" s="93">
        <v>57.59</v>
      </c>
      <c r="AL22" s="94">
        <v>57.3</v>
      </c>
      <c r="AM22" s="94">
        <v>129.12</v>
      </c>
    </row>
    <row r="23" spans="1:39">
      <c r="A23" s="1" t="s">
        <v>95</v>
      </c>
      <c r="B23" s="63">
        <v>79.620590000000007</v>
      </c>
      <c r="C23" s="2">
        <f t="shared" si="0"/>
        <v>-3.6851803106080694E-3</v>
      </c>
      <c r="D23" s="66">
        <f t="shared" si="0"/>
        <v>-6.3694267515924576E-3</v>
      </c>
      <c r="E23" s="66">
        <f t="shared" si="0"/>
        <v>5.8300539279997456E-4</v>
      </c>
      <c r="F23" s="66">
        <f t="shared" si="0"/>
        <v>1.149058410469197E-2</v>
      </c>
      <c r="G23" s="63">
        <v>20.32</v>
      </c>
      <c r="H23" s="66">
        <f t="shared" si="1"/>
        <v>-2.7260159277235825E-4</v>
      </c>
      <c r="I23" s="63">
        <v>1028.0699460000001</v>
      </c>
      <c r="J23" s="66">
        <f t="shared" si="2"/>
        <v>-2.7260159277235825E-4</v>
      </c>
      <c r="K23" s="63">
        <v>28.978916000000002</v>
      </c>
      <c r="L23" s="66">
        <f t="shared" si="3"/>
        <v>-1.1421671483431612E-2</v>
      </c>
      <c r="M23" s="63">
        <v>126.28851299999999</v>
      </c>
      <c r="N23" s="66">
        <f t="shared" si="4"/>
        <v>3.6154900616860851E-2</v>
      </c>
      <c r="O23" s="66">
        <f t="shared" si="4"/>
        <v>2.1321961620468627E-3</v>
      </c>
      <c r="P23" s="66">
        <f t="shared" si="4"/>
        <v>-2.2263165975740218E-3</v>
      </c>
      <c r="Q23" s="92">
        <v>4.0000000000000001E-3</v>
      </c>
      <c r="R23" s="63"/>
      <c r="S23" s="66"/>
      <c r="T23" s="63"/>
      <c r="U23" s="66"/>
      <c r="X23" s="66"/>
      <c r="Y23" s="63"/>
      <c r="Z23" s="66"/>
      <c r="AA23" s="32"/>
      <c r="AC23" s="67">
        <v>43042</v>
      </c>
      <c r="AE23" s="1">
        <v>151.96</v>
      </c>
      <c r="AF23" s="1">
        <v>67.510000000000005</v>
      </c>
      <c r="AG23" s="93">
        <v>68.61</v>
      </c>
      <c r="AH23" s="93">
        <v>187.98</v>
      </c>
      <c r="AI23" s="93">
        <v>513.57000000000005</v>
      </c>
      <c r="AJ23" s="93">
        <v>505.18</v>
      </c>
      <c r="AK23" s="93">
        <v>58.36</v>
      </c>
      <c r="AL23" s="94">
        <v>56.28</v>
      </c>
      <c r="AM23" s="94">
        <v>130.26</v>
      </c>
    </row>
    <row r="24" spans="1:39">
      <c r="A24" s="1" t="s">
        <v>96</v>
      </c>
      <c r="B24" s="63">
        <v>78.225075000000004</v>
      </c>
      <c r="C24" s="2">
        <f t="shared" si="0"/>
        <v>-1.1889035667107075E-2</v>
      </c>
      <c r="D24" s="66">
        <f t="shared" si="0"/>
        <v>7.6028622540251214E-3</v>
      </c>
      <c r="E24" s="66">
        <f t="shared" si="0"/>
        <v>2.1995630007283187E-2</v>
      </c>
      <c r="F24" s="66">
        <f t="shared" si="0"/>
        <v>-2.5086778163458411E-2</v>
      </c>
      <c r="G24" s="63">
        <v>20.76</v>
      </c>
      <c r="H24" s="66">
        <f t="shared" si="1"/>
        <v>-3.5447870206258623E-3</v>
      </c>
      <c r="I24" s="63">
        <v>1019.090027</v>
      </c>
      <c r="J24" s="66">
        <f t="shared" si="2"/>
        <v>-3.5447870206258623E-3</v>
      </c>
      <c r="K24" s="63">
        <v>29.401657</v>
      </c>
      <c r="L24" s="66">
        <f t="shared" si="3"/>
        <v>-1.2334554774634118E-2</v>
      </c>
      <c r="M24" s="63">
        <v>124.876869</v>
      </c>
      <c r="N24" s="66">
        <f t="shared" si="4"/>
        <v>-4.9611377542584979E-4</v>
      </c>
      <c r="O24" s="66">
        <f t="shared" si="4"/>
        <v>1.2056737588652477E-2</v>
      </c>
      <c r="P24" s="66">
        <f t="shared" si="4"/>
        <v>6.1552665999846995E-3</v>
      </c>
      <c r="Q24" s="92">
        <v>-6.3E-3</v>
      </c>
      <c r="R24" s="63"/>
      <c r="S24" s="66"/>
      <c r="T24" s="63"/>
      <c r="U24" s="66"/>
      <c r="X24" s="66"/>
      <c r="Y24" s="63"/>
      <c r="Z24" s="66"/>
      <c r="AA24" s="32"/>
      <c r="AC24" s="67">
        <v>43049</v>
      </c>
      <c r="AE24" s="1">
        <v>151.4</v>
      </c>
      <c r="AF24" s="1">
        <v>67.08</v>
      </c>
      <c r="AG24" s="93">
        <v>68.650000000000006</v>
      </c>
      <c r="AH24" s="93">
        <v>190.14</v>
      </c>
      <c r="AI24" s="93">
        <v>513.42999999999995</v>
      </c>
      <c r="AJ24" s="93">
        <v>499.41</v>
      </c>
      <c r="AK24" s="93">
        <v>60.47</v>
      </c>
      <c r="AL24" s="94">
        <v>56.4</v>
      </c>
      <c r="AM24" s="94">
        <v>129.97</v>
      </c>
    </row>
    <row r="25" spans="1:39">
      <c r="A25" s="1" t="s">
        <v>97</v>
      </c>
      <c r="B25" s="63">
        <v>79.438445999999999</v>
      </c>
      <c r="C25" s="2">
        <f t="shared" si="0"/>
        <v>-1.4572192513369031E-2</v>
      </c>
      <c r="D25" s="66">
        <f t="shared" si="0"/>
        <v>1.2575824826157631E-2</v>
      </c>
      <c r="E25" s="66">
        <f t="shared" si="0"/>
        <v>8.5518814139113849E-4</v>
      </c>
      <c r="F25" s="66">
        <f t="shared" si="0"/>
        <v>5.0169930409451734E-3</v>
      </c>
      <c r="G25" s="63">
        <v>22.42</v>
      </c>
      <c r="H25" s="66">
        <f t="shared" si="1"/>
        <v>3.8505893160806614E-3</v>
      </c>
      <c r="I25" s="63">
        <v>1040.6099850000001</v>
      </c>
      <c r="J25" s="66">
        <f t="shared" si="2"/>
        <v>3.8505893160806614E-3</v>
      </c>
      <c r="K25" s="63">
        <v>29.501404000000001</v>
      </c>
      <c r="L25" s="66">
        <f t="shared" si="3"/>
        <v>3.852002027369442E-3</v>
      </c>
      <c r="M25" s="63">
        <v>124.885925</v>
      </c>
      <c r="N25" s="66">
        <f t="shared" si="4"/>
        <v>1.9027134348113928E-2</v>
      </c>
      <c r="O25" s="66">
        <f t="shared" si="4"/>
        <v>-5.6061667834618009E-2</v>
      </c>
      <c r="P25" s="66">
        <f t="shared" si="4"/>
        <v>5.0470291351227079E-3</v>
      </c>
      <c r="Q25" s="92">
        <v>5.3E-3</v>
      </c>
      <c r="R25" s="63"/>
      <c r="S25" s="66"/>
      <c r="T25" s="63"/>
      <c r="U25" s="66"/>
      <c r="X25" s="66"/>
      <c r="Y25" s="63"/>
      <c r="Z25" s="66"/>
      <c r="AA25" s="32"/>
      <c r="AC25" s="67">
        <v>43056</v>
      </c>
      <c r="AE25" s="1">
        <v>149.6</v>
      </c>
      <c r="AF25" s="1">
        <v>67.59</v>
      </c>
      <c r="AG25" s="93">
        <v>70.16</v>
      </c>
      <c r="AH25" s="93">
        <v>185.37</v>
      </c>
      <c r="AI25" s="93">
        <v>511.61</v>
      </c>
      <c r="AJ25" s="93">
        <v>493.25</v>
      </c>
      <c r="AK25" s="93">
        <v>60.44</v>
      </c>
      <c r="AL25" s="94">
        <v>57.08</v>
      </c>
      <c r="AM25" s="94">
        <v>130.77000000000001</v>
      </c>
    </row>
    <row r="26" spans="1:39">
      <c r="A26" s="1" t="s">
        <v>98</v>
      </c>
      <c r="B26" s="63">
        <v>80.392539999999997</v>
      </c>
      <c r="C26" s="2">
        <f t="shared" si="0"/>
        <v>1.1803011803011866E-2</v>
      </c>
      <c r="D26" s="66">
        <f t="shared" si="0"/>
        <v>0</v>
      </c>
      <c r="E26" s="66">
        <f t="shared" si="0"/>
        <v>-6.5508402164624569E-3</v>
      </c>
      <c r="F26" s="66">
        <f t="shared" si="0"/>
        <v>-8.1052066559313962E-3</v>
      </c>
      <c r="G26" s="63">
        <v>20.709999</v>
      </c>
      <c r="H26" s="66">
        <f t="shared" si="1"/>
        <v>6.2502433895399402E-3</v>
      </c>
      <c r="I26" s="63">
        <v>1010.169983</v>
      </c>
      <c r="J26" s="66">
        <f t="shared" si="2"/>
        <v>6.2502433895399402E-3</v>
      </c>
      <c r="K26" s="63">
        <v>30.216290000000001</v>
      </c>
      <c r="L26" s="66">
        <f t="shared" si="3"/>
        <v>2.1710592749671818E-2</v>
      </c>
      <c r="M26" s="63">
        <v>126.668594</v>
      </c>
      <c r="N26" s="66">
        <f t="shared" si="4"/>
        <v>-8.9300211073226853E-3</v>
      </c>
      <c r="O26" s="66">
        <f t="shared" si="4"/>
        <v>2.839643652561236E-2</v>
      </c>
      <c r="P26" s="66">
        <f t="shared" si="4"/>
        <v>2.7391006619492141E-3</v>
      </c>
      <c r="Q26" s="92">
        <v>1.0699999999999999E-2</v>
      </c>
      <c r="R26" s="63"/>
      <c r="S26" s="66"/>
      <c r="T26" s="63"/>
      <c r="U26" s="66"/>
      <c r="X26" s="66"/>
      <c r="Y26" s="63"/>
      <c r="Z26" s="66"/>
      <c r="AA26" s="32"/>
      <c r="AC26" s="67">
        <v>43063</v>
      </c>
      <c r="AE26" s="1">
        <v>147.41999999999999</v>
      </c>
      <c r="AF26" s="1">
        <v>68.44</v>
      </c>
      <c r="AG26" s="93">
        <v>70.22</v>
      </c>
      <c r="AH26" s="93">
        <v>186.3</v>
      </c>
      <c r="AI26" s="93">
        <v>513.58000000000004</v>
      </c>
      <c r="AJ26" s="93">
        <v>495.15</v>
      </c>
      <c r="AK26" s="93">
        <v>61.59</v>
      </c>
      <c r="AL26" s="94">
        <v>53.88</v>
      </c>
      <c r="AM26" s="94">
        <v>131.43</v>
      </c>
    </row>
    <row r="27" spans="1:39">
      <c r="A27" s="1" t="s">
        <v>99</v>
      </c>
      <c r="B27" s="63">
        <v>80.297134</v>
      </c>
      <c r="C27" s="2">
        <f t="shared" si="0"/>
        <v>-1.1196031107535448E-2</v>
      </c>
      <c r="D27" s="66">
        <f t="shared" si="0"/>
        <v>4.0619520748100546E-2</v>
      </c>
      <c r="E27" s="66">
        <f t="shared" si="0"/>
        <v>-1.2327981651376137E-2</v>
      </c>
      <c r="F27" s="66">
        <f t="shared" si="0"/>
        <v>-4.3292385951612146E-4</v>
      </c>
      <c r="G27" s="63">
        <v>21.1</v>
      </c>
      <c r="H27" s="66">
        <f t="shared" si="1"/>
        <v>1.6834691073743776E-3</v>
      </c>
      <c r="I27" s="63">
        <v>1037.0500489999999</v>
      </c>
      <c r="J27" s="66">
        <f t="shared" si="2"/>
        <v>1.6834691073743776E-3</v>
      </c>
      <c r="K27" s="63">
        <v>29.709216999999999</v>
      </c>
      <c r="L27" s="66">
        <f t="shared" si="3"/>
        <v>-3.2417473809053132E-2</v>
      </c>
      <c r="M27" s="63">
        <v>127.999672</v>
      </c>
      <c r="N27" s="66">
        <f t="shared" si="4"/>
        <v>-8.1913499344687349E-4</v>
      </c>
      <c r="O27" s="66">
        <f t="shared" si="4"/>
        <v>-1.9852012272152941E-3</v>
      </c>
      <c r="P27" s="66">
        <f t="shared" si="4"/>
        <v>-3.4145231049395909E-3</v>
      </c>
      <c r="Q27" s="92">
        <v>0</v>
      </c>
      <c r="R27" s="63"/>
      <c r="S27" s="66"/>
      <c r="T27" s="63"/>
      <c r="U27" s="66"/>
      <c r="X27" s="66"/>
      <c r="Y27" s="63"/>
      <c r="Z27" s="66"/>
      <c r="AA27" s="32"/>
      <c r="AC27" s="67">
        <v>43070</v>
      </c>
      <c r="AE27" s="1">
        <v>149.16</v>
      </c>
      <c r="AF27" s="1">
        <v>68.44</v>
      </c>
      <c r="AG27" s="93">
        <v>69.760000000000005</v>
      </c>
      <c r="AH27" s="93">
        <v>184.79</v>
      </c>
      <c r="AI27" s="93">
        <v>516.79</v>
      </c>
      <c r="AJ27" s="93">
        <v>505.9</v>
      </c>
      <c r="AK27" s="93">
        <v>61.04</v>
      </c>
      <c r="AL27" s="94">
        <v>55.41</v>
      </c>
      <c r="AM27" s="94">
        <v>131.79</v>
      </c>
    </row>
    <row r="28" spans="1:39">
      <c r="A28" s="1" t="s">
        <v>100</v>
      </c>
      <c r="B28" s="63">
        <v>82.863663000000003</v>
      </c>
      <c r="C28" s="2">
        <f t="shared" si="0"/>
        <v>1.4916265509525992E-2</v>
      </c>
      <c r="D28" s="66">
        <f t="shared" si="0"/>
        <v>-5.7568098848637542E-3</v>
      </c>
      <c r="E28" s="66">
        <f t="shared" si="0"/>
        <v>1.1901306240928783E-2</v>
      </c>
      <c r="F28" s="66">
        <f t="shared" si="0"/>
        <v>-1.0394672730225846E-2</v>
      </c>
      <c r="G28" s="63">
        <v>22.23</v>
      </c>
      <c r="H28" s="66">
        <f t="shared" si="1"/>
        <v>5.5634972762044496E-3</v>
      </c>
      <c r="I28" s="63">
        <v>1064.1899410000001</v>
      </c>
      <c r="J28" s="66">
        <f t="shared" si="2"/>
        <v>5.5634972762044496E-3</v>
      </c>
      <c r="K28" s="63">
        <v>30.922853</v>
      </c>
      <c r="L28" s="66">
        <f t="shared" si="3"/>
        <v>-4.8212461695608042E-3</v>
      </c>
      <c r="M28" s="63">
        <v>129.70220900000001</v>
      </c>
      <c r="N28" s="66">
        <f t="shared" si="4"/>
        <v>2.0659124446630563E-2</v>
      </c>
      <c r="O28" s="66">
        <f t="shared" si="4"/>
        <v>-3.2549728752260351E-2</v>
      </c>
      <c r="P28" s="66">
        <f t="shared" si="4"/>
        <v>6.8524440383739462E-4</v>
      </c>
      <c r="Q28" s="92">
        <v>-5.3E-3</v>
      </c>
      <c r="R28" s="63"/>
      <c r="S28" s="66"/>
      <c r="T28" s="63"/>
      <c r="U28" s="66"/>
      <c r="X28" s="66"/>
      <c r="Y28" s="63"/>
      <c r="Z28" s="66"/>
      <c r="AA28" s="32"/>
      <c r="AC28" s="67">
        <v>43077</v>
      </c>
      <c r="AE28" s="1">
        <v>147.49</v>
      </c>
      <c r="AF28" s="1">
        <v>71.22</v>
      </c>
      <c r="AG28" s="93">
        <v>68.900000000000006</v>
      </c>
      <c r="AH28" s="93">
        <v>184.71</v>
      </c>
      <c r="AI28" s="93">
        <v>517.66</v>
      </c>
      <c r="AJ28" s="93">
        <v>489.5</v>
      </c>
      <c r="AK28" s="93">
        <v>60.99</v>
      </c>
      <c r="AL28" s="94">
        <v>55.3</v>
      </c>
      <c r="AM28" s="94">
        <v>131.34</v>
      </c>
    </row>
    <row r="29" spans="1:39">
      <c r="A29" s="1" t="s">
        <v>101</v>
      </c>
      <c r="B29" s="63">
        <v>81.585175000000007</v>
      </c>
      <c r="C29" s="2">
        <f t="shared" si="0"/>
        <v>5.9456209499633558E-3</v>
      </c>
      <c r="D29" s="66">
        <f t="shared" si="0"/>
        <v>-1.228640022595685E-2</v>
      </c>
      <c r="E29" s="66">
        <f t="shared" si="0"/>
        <v>2.4383247274813785E-3</v>
      </c>
      <c r="F29" s="66">
        <f t="shared" si="0"/>
        <v>-1.4223972865036349E-2</v>
      </c>
      <c r="G29" s="63">
        <v>24.459999</v>
      </c>
      <c r="H29" s="66">
        <f t="shared" si="1"/>
        <v>3.8421639067087664E-5</v>
      </c>
      <c r="I29" s="63">
        <v>1060.119995</v>
      </c>
      <c r="J29" s="66">
        <f t="shared" si="2"/>
        <v>3.8421639067087664E-5</v>
      </c>
      <c r="K29" s="63">
        <v>30.041720999999999</v>
      </c>
      <c r="L29" s="66">
        <f t="shared" si="3"/>
        <v>1.8680461468982737E-3</v>
      </c>
      <c r="M29" s="63">
        <v>127.571724</v>
      </c>
      <c r="N29" s="66">
        <f t="shared" si="4"/>
        <v>5.3012048192770814E-3</v>
      </c>
      <c r="O29" s="66">
        <f t="shared" si="4"/>
        <v>-1.7383177570093451E-2</v>
      </c>
      <c r="P29" s="66">
        <f t="shared" si="4"/>
        <v>1.5978087194702848E-3</v>
      </c>
      <c r="Q29" s="92">
        <v>5.7999999999999996E-3</v>
      </c>
      <c r="R29" s="63"/>
      <c r="S29" s="66"/>
      <c r="T29" s="63"/>
      <c r="U29" s="66"/>
      <c r="X29" s="66"/>
      <c r="Y29" s="63"/>
      <c r="Z29" s="66"/>
      <c r="AA29" s="32"/>
      <c r="AC29" s="67">
        <v>43084</v>
      </c>
      <c r="AE29" s="1">
        <v>149.69</v>
      </c>
      <c r="AF29" s="1">
        <v>70.81</v>
      </c>
      <c r="AG29" s="93">
        <v>69.72</v>
      </c>
      <c r="AH29" s="93">
        <v>182.79</v>
      </c>
      <c r="AI29" s="93">
        <v>520.54</v>
      </c>
      <c r="AJ29" s="93">
        <v>487.14</v>
      </c>
      <c r="AK29" s="93">
        <v>62.25</v>
      </c>
      <c r="AL29" s="94">
        <v>53.5</v>
      </c>
      <c r="AM29" s="94">
        <v>131.43</v>
      </c>
    </row>
    <row r="30" spans="1:39">
      <c r="A30" s="1" t="s">
        <v>102</v>
      </c>
      <c r="B30" s="63">
        <v>81.613815000000002</v>
      </c>
      <c r="C30" s="2">
        <f t="shared" si="0"/>
        <v>7.3050869969441639E-4</v>
      </c>
      <c r="D30" s="66">
        <f t="shared" si="0"/>
        <v>-3.2885330283100368E-3</v>
      </c>
      <c r="E30" s="66">
        <f t="shared" si="0"/>
        <v>-2.8616397195593483E-3</v>
      </c>
      <c r="F30" s="66">
        <f t="shared" si="0"/>
        <v>-1.2098340640435135E-2</v>
      </c>
      <c r="G30" s="63">
        <v>24.01</v>
      </c>
      <c r="H30" s="66">
        <f t="shared" si="1"/>
        <v>5.8590748424774634E-3</v>
      </c>
      <c r="I30" s="63">
        <v>1046.400024</v>
      </c>
      <c r="J30" s="66">
        <f t="shared" si="2"/>
        <v>5.8590748424774634E-3</v>
      </c>
      <c r="K30" s="63">
        <v>30.108226999999999</v>
      </c>
      <c r="L30" s="66">
        <f t="shared" si="3"/>
        <v>-5.4092818358774438E-3</v>
      </c>
      <c r="M30" s="63">
        <v>127.20755800000001</v>
      </c>
      <c r="N30" s="66">
        <f t="shared" si="4"/>
        <v>-7.6701821668264123E-3</v>
      </c>
      <c r="O30" s="66">
        <f t="shared" si="4"/>
        <v>1.5978695073235617E-2</v>
      </c>
      <c r="P30" s="66">
        <f t="shared" si="4"/>
        <v>-9.7234883014279318E-3</v>
      </c>
      <c r="Q30" s="92">
        <v>7.9000000000000008E-3</v>
      </c>
      <c r="R30" s="63"/>
      <c r="S30" s="66"/>
      <c r="T30" s="63"/>
      <c r="U30" s="66"/>
      <c r="X30" s="66"/>
      <c r="Y30" s="63"/>
      <c r="Z30" s="66"/>
      <c r="AA30" s="32"/>
      <c r="AC30" s="67">
        <v>43091</v>
      </c>
      <c r="AE30" s="1">
        <v>150.58000000000001</v>
      </c>
      <c r="AF30" s="1">
        <v>69.94</v>
      </c>
      <c r="AG30" s="93">
        <v>69.89</v>
      </c>
      <c r="AH30" s="93">
        <v>180.19</v>
      </c>
      <c r="AI30" s="93">
        <v>520.55999999999995</v>
      </c>
      <c r="AJ30" s="93">
        <v>488.05</v>
      </c>
      <c r="AK30" s="93">
        <v>62.58</v>
      </c>
      <c r="AL30" s="94">
        <v>52.57</v>
      </c>
      <c r="AM30" s="94">
        <v>131.63999999999999</v>
      </c>
    </row>
    <row r="31" spans="1:39">
      <c r="A31" s="1" t="s">
        <v>103</v>
      </c>
      <c r="B31" s="63">
        <v>84.142173999999997</v>
      </c>
      <c r="C31" s="2">
        <f t="shared" si="0"/>
        <v>1.2276859778352873E-2</v>
      </c>
      <c r="D31" s="66">
        <f t="shared" si="0"/>
        <v>5.020800459044736E-3</v>
      </c>
      <c r="E31" s="66">
        <f t="shared" si="0"/>
        <v>-1.4349261013044777E-4</v>
      </c>
      <c r="F31" s="66">
        <f t="shared" si="0"/>
        <v>1.1516206954665533E-2</v>
      </c>
      <c r="G31" s="63">
        <v>24.32</v>
      </c>
      <c r="H31" s="66">
        <f t="shared" si="1"/>
        <v>1.5106663356314753E-2</v>
      </c>
      <c r="I31" s="63">
        <v>1102.2299800000001</v>
      </c>
      <c r="J31" s="66">
        <f t="shared" si="2"/>
        <v>1.5106663356314753E-2</v>
      </c>
      <c r="K31" s="63">
        <v>30.640232000000001</v>
      </c>
      <c r="L31" s="66">
        <f t="shared" si="3"/>
        <v>3.0901711954842296E-3</v>
      </c>
      <c r="M31" s="63">
        <v>129.01934800000001</v>
      </c>
      <c r="N31" s="66">
        <f t="shared" si="4"/>
        <v>4.3478260869564576E-3</v>
      </c>
      <c r="O31" s="66">
        <f t="shared" si="4"/>
        <v>-1.1795543905635565E-2</v>
      </c>
      <c r="P31" s="66">
        <f t="shared" si="4"/>
        <v>-9.358698987419662E-3</v>
      </c>
      <c r="Q31" s="92">
        <v>1.23E-2</v>
      </c>
      <c r="R31" s="63"/>
      <c r="S31" s="66"/>
      <c r="T31" s="63"/>
      <c r="U31" s="66"/>
      <c r="X31" s="66"/>
      <c r="Y31" s="63"/>
      <c r="Z31" s="66"/>
      <c r="AA31" s="32"/>
      <c r="AC31" s="67">
        <v>43098</v>
      </c>
      <c r="AE31" s="1">
        <v>150.69</v>
      </c>
      <c r="AF31" s="1">
        <v>69.709999999999994</v>
      </c>
      <c r="AG31" s="93">
        <v>69.69</v>
      </c>
      <c r="AH31" s="93">
        <v>178.01</v>
      </c>
      <c r="AI31" s="93">
        <v>523.61</v>
      </c>
      <c r="AJ31" s="93">
        <v>485.41</v>
      </c>
      <c r="AK31" s="93">
        <v>62.1</v>
      </c>
      <c r="AL31" s="94">
        <v>53.41</v>
      </c>
      <c r="AM31" s="94">
        <v>130.36000000000001</v>
      </c>
    </row>
    <row r="32" spans="1:39">
      <c r="A32" s="1" t="s">
        <v>104</v>
      </c>
      <c r="B32" s="63">
        <v>85.487442000000001</v>
      </c>
      <c r="C32" s="2">
        <f t="shared" si="0"/>
        <v>-1.3963550544119546E-2</v>
      </c>
      <c r="D32" s="66">
        <f t="shared" si="0"/>
        <v>1.4273479874392565E-3</v>
      </c>
      <c r="E32" s="66">
        <f t="shared" si="0"/>
        <v>-5.1664753157292425E-3</v>
      </c>
      <c r="F32" s="66">
        <f t="shared" si="0"/>
        <v>-6.6089081417305216E-3</v>
      </c>
      <c r="G32" s="63">
        <v>25.41</v>
      </c>
      <c r="H32" s="66">
        <f t="shared" si="1"/>
        <v>1.9848735701384838E-2</v>
      </c>
      <c r="I32" s="63">
        <v>1122.26001</v>
      </c>
      <c r="J32" s="66">
        <f t="shared" si="2"/>
        <v>1.9848735701384838E-2</v>
      </c>
      <c r="K32" s="63">
        <v>30.374227999999999</v>
      </c>
      <c r="L32" s="66">
        <f t="shared" si="3"/>
        <v>-2.3412951058718102E-3</v>
      </c>
      <c r="M32" s="63">
        <v>132.70663500000001</v>
      </c>
      <c r="N32" s="66">
        <f t="shared" si="4"/>
        <v>-4.9703383036715596E-3</v>
      </c>
      <c r="O32" s="66">
        <f t="shared" si="4"/>
        <v>5.6839712012127957E-4</v>
      </c>
      <c r="P32" s="66">
        <f t="shared" si="4"/>
        <v>-4.4215579990707604E-2</v>
      </c>
      <c r="Q32" s="92">
        <v>2.3E-3</v>
      </c>
      <c r="R32" s="63"/>
      <c r="S32" s="66"/>
      <c r="T32" s="63"/>
      <c r="U32" s="66"/>
      <c r="X32" s="66"/>
      <c r="Y32" s="63"/>
      <c r="Z32" s="66"/>
      <c r="AA32" s="32"/>
      <c r="AC32" s="67">
        <v>43105</v>
      </c>
      <c r="AE32" s="1">
        <v>152.54</v>
      </c>
      <c r="AF32" s="1">
        <v>70.06</v>
      </c>
      <c r="AG32" s="93">
        <v>69.680000000000007</v>
      </c>
      <c r="AH32" s="93">
        <v>180.06</v>
      </c>
      <c r="AI32" s="93">
        <v>531.52</v>
      </c>
      <c r="AJ32" s="93">
        <v>486.91</v>
      </c>
      <c r="AK32" s="93">
        <v>62.37</v>
      </c>
      <c r="AL32" s="94">
        <v>52.78</v>
      </c>
      <c r="AM32" s="94">
        <v>129.13999999999999</v>
      </c>
    </row>
    <row r="33" spans="1:39">
      <c r="A33" s="1" t="s">
        <v>105</v>
      </c>
      <c r="B33" s="63">
        <v>85.869086999999993</v>
      </c>
      <c r="C33" s="2">
        <f t="shared" si="0"/>
        <v>1.2366199055913926E-2</v>
      </c>
      <c r="D33" s="66">
        <f t="shared" si="0"/>
        <v>-2.5798175598631734E-2</v>
      </c>
      <c r="E33" s="66">
        <f t="shared" si="0"/>
        <v>-3.98153491055971E-2</v>
      </c>
      <c r="F33" s="66">
        <f t="shared" si="0"/>
        <v>-2.7561916475652745E-2</v>
      </c>
      <c r="G33" s="63">
        <v>23.66</v>
      </c>
      <c r="H33" s="66">
        <f t="shared" si="1"/>
        <v>-9.5928570110888898E-4</v>
      </c>
      <c r="I33" s="63">
        <v>1137.51001</v>
      </c>
      <c r="J33" s="66">
        <f t="shared" si="2"/>
        <v>-9.5928570110888898E-4</v>
      </c>
      <c r="K33" s="63">
        <v>30.706738000000001</v>
      </c>
      <c r="L33" s="66">
        <f t="shared" si="3"/>
        <v>-9.0577845482429497E-4</v>
      </c>
      <c r="M33" s="63">
        <v>134.16339099999999</v>
      </c>
      <c r="N33" s="66">
        <f t="shared" si="4"/>
        <v>2.5781501772477698E-3</v>
      </c>
      <c r="O33" s="66">
        <f t="shared" si="4"/>
        <v>-2.6510130657072632E-3</v>
      </c>
      <c r="P33" s="66">
        <f t="shared" si="4"/>
        <v>-1.3205865672851086E-2</v>
      </c>
      <c r="Q33" s="92">
        <v>0</v>
      </c>
      <c r="R33" s="63"/>
      <c r="S33" s="66"/>
      <c r="T33" s="63"/>
      <c r="U33" s="66"/>
      <c r="X33" s="66"/>
      <c r="Y33" s="63"/>
      <c r="Z33" s="66"/>
      <c r="AA33" s="32"/>
      <c r="AC33" s="67">
        <v>43112</v>
      </c>
      <c r="AE33" s="1">
        <v>150.41</v>
      </c>
      <c r="AF33" s="1">
        <v>70.16</v>
      </c>
      <c r="AG33" s="93">
        <v>69.319999999999993</v>
      </c>
      <c r="AH33" s="93">
        <v>178.87</v>
      </c>
      <c r="AI33" s="93">
        <v>542.07000000000005</v>
      </c>
      <c r="AJ33" s="93">
        <v>485.77</v>
      </c>
      <c r="AK33" s="93">
        <v>62.06</v>
      </c>
      <c r="AL33" s="94">
        <v>52.81</v>
      </c>
      <c r="AM33" s="94">
        <v>123.43</v>
      </c>
    </row>
    <row r="34" spans="1:39">
      <c r="A34" s="1" t="s">
        <v>106</v>
      </c>
      <c r="B34" s="63">
        <v>89.742728999999997</v>
      </c>
      <c r="C34" s="2">
        <f t="shared" si="0"/>
        <v>-1.4448019964536604E-3</v>
      </c>
      <c r="D34" s="66">
        <f t="shared" si="0"/>
        <v>9.2172640819313777E-3</v>
      </c>
      <c r="E34" s="66">
        <f t="shared" si="0"/>
        <v>1.5024038461524796E-4</v>
      </c>
      <c r="F34" s="66">
        <f t="shared" si="0"/>
        <v>-2.3513855352420395E-2</v>
      </c>
      <c r="G34" s="63">
        <v>24.27</v>
      </c>
      <c r="H34" s="66">
        <f t="shared" si="1"/>
        <v>-2.915704921059914E-2</v>
      </c>
      <c r="I34" s="63">
        <v>1175.839966</v>
      </c>
      <c r="J34" s="66">
        <f t="shared" si="2"/>
        <v>-2.915704921059914E-2</v>
      </c>
      <c r="K34" s="63">
        <v>32.427441000000002</v>
      </c>
      <c r="L34" s="66">
        <f t="shared" si="3"/>
        <v>9.0453917952734077E-3</v>
      </c>
      <c r="M34" s="63">
        <v>132.31521599999999</v>
      </c>
      <c r="N34" s="66">
        <f t="shared" si="4"/>
        <v>-9.3217614914818114E-3</v>
      </c>
      <c r="O34" s="66">
        <f t="shared" si="4"/>
        <v>-5.1642301120182241E-2</v>
      </c>
      <c r="P34" s="66">
        <f t="shared" si="4"/>
        <v>6.6502463054187383E-3</v>
      </c>
      <c r="Q34" s="92">
        <v>-9.9000000000000008E-3</v>
      </c>
      <c r="R34" s="63"/>
      <c r="S34" s="66"/>
      <c r="T34" s="63"/>
      <c r="U34" s="66"/>
      <c r="X34" s="66"/>
      <c r="Y34" s="63"/>
      <c r="Z34" s="66"/>
      <c r="AA34" s="32"/>
      <c r="AC34" s="67">
        <v>43119</v>
      </c>
      <c r="AE34" s="1">
        <v>152.27000000000001</v>
      </c>
      <c r="AF34" s="1">
        <v>68.349999999999994</v>
      </c>
      <c r="AG34" s="93">
        <v>66.56</v>
      </c>
      <c r="AH34" s="93">
        <v>173.94</v>
      </c>
      <c r="AI34" s="93">
        <v>541.54999999999995</v>
      </c>
      <c r="AJ34" s="93">
        <v>485.33</v>
      </c>
      <c r="AK34" s="93">
        <v>62.22</v>
      </c>
      <c r="AL34" s="94">
        <v>52.67</v>
      </c>
      <c r="AM34" s="94">
        <v>121.8</v>
      </c>
    </row>
    <row r="35" spans="1:39">
      <c r="A35" s="1" t="s">
        <v>107</v>
      </c>
      <c r="B35" s="63">
        <v>87.567374999999998</v>
      </c>
      <c r="C35" s="2">
        <f t="shared" si="0"/>
        <v>7.4317658664912554E-3</v>
      </c>
      <c r="D35" s="66">
        <f t="shared" si="0"/>
        <v>-1.1597564511452347E-3</v>
      </c>
      <c r="E35" s="66">
        <f t="shared" si="0"/>
        <v>3.9056632116569799E-3</v>
      </c>
      <c r="F35" s="66">
        <f t="shared" si="0"/>
        <v>-8.949072711215672E-3</v>
      </c>
      <c r="G35" s="63">
        <v>25.92</v>
      </c>
      <c r="H35" s="66">
        <f t="shared" si="1"/>
        <v>-1.5120967741935571E-2</v>
      </c>
      <c r="I35" s="63">
        <v>1111.900024</v>
      </c>
      <c r="J35" s="66">
        <f t="shared" si="2"/>
        <v>-1.5120967741935571E-2</v>
      </c>
      <c r="K35" s="63">
        <v>30.432413</v>
      </c>
      <c r="L35" s="66">
        <f t="shared" si="3"/>
        <v>4.4106836559666095E-3</v>
      </c>
      <c r="M35" s="63">
        <v>125.35025</v>
      </c>
      <c r="N35" s="66">
        <f t="shared" si="4"/>
        <v>9.7339390006489519E-3</v>
      </c>
      <c r="O35" s="66">
        <f t="shared" si="4"/>
        <v>-2.3423423423423455E-2</v>
      </c>
      <c r="P35" s="66">
        <f t="shared" si="4"/>
        <v>9.6240110920806365E-3</v>
      </c>
      <c r="Q35" s="92">
        <v>2.5999999999999999E-3</v>
      </c>
      <c r="R35" s="63"/>
      <c r="S35" s="66"/>
      <c r="T35" s="63"/>
      <c r="U35" s="66"/>
      <c r="X35" s="66"/>
      <c r="Y35" s="63"/>
      <c r="Z35" s="66"/>
      <c r="AA35" s="32"/>
      <c r="AC35" s="67">
        <v>43126</v>
      </c>
      <c r="AE35" s="1">
        <v>152.05000000000001</v>
      </c>
      <c r="AF35" s="1">
        <v>68.98</v>
      </c>
      <c r="AG35" s="93">
        <v>66.569999999999993</v>
      </c>
      <c r="AH35" s="93">
        <v>169.85</v>
      </c>
      <c r="AI35" s="93">
        <v>525.76</v>
      </c>
      <c r="AJ35" s="93">
        <v>489.72</v>
      </c>
      <c r="AK35" s="93">
        <v>61.64</v>
      </c>
      <c r="AL35" s="94">
        <v>49.95</v>
      </c>
      <c r="AM35" s="94">
        <v>122.61</v>
      </c>
    </row>
    <row r="36" spans="1:39">
      <c r="A36" s="1" t="s">
        <v>108</v>
      </c>
      <c r="B36" s="63">
        <v>84.132621999999998</v>
      </c>
      <c r="C36" s="2">
        <f t="shared" si="0"/>
        <v>3.0682856769813217E-3</v>
      </c>
      <c r="D36" s="66">
        <f t="shared" si="0"/>
        <v>-1.3497822931785294E-2</v>
      </c>
      <c r="E36" s="66">
        <f t="shared" si="0"/>
        <v>-4.788268741583019E-3</v>
      </c>
      <c r="F36" s="66">
        <f t="shared" si="0"/>
        <v>-4.3129566922117384E-2</v>
      </c>
      <c r="G36" s="63">
        <v>31.51</v>
      </c>
      <c r="H36" s="66">
        <f t="shared" si="1"/>
        <v>-1.5063440258009169E-3</v>
      </c>
      <c r="I36" s="63">
        <v>1037.780029</v>
      </c>
      <c r="J36" s="66">
        <f t="shared" si="2"/>
        <v>-1.5063440258009169E-3</v>
      </c>
      <c r="K36" s="63">
        <v>28.658895000000001</v>
      </c>
      <c r="L36" s="66">
        <f t="shared" si="3"/>
        <v>-8.0100837602667275E-3</v>
      </c>
      <c r="M36" s="63">
        <v>117.93013000000001</v>
      </c>
      <c r="N36" s="66">
        <f t="shared" si="4"/>
        <v>-1.0764781491002597E-2</v>
      </c>
      <c r="O36" s="66">
        <f t="shared" si="4"/>
        <v>1.291512915129142E-2</v>
      </c>
      <c r="P36" s="66">
        <f t="shared" si="4"/>
        <v>5.6547378625085363E-4</v>
      </c>
      <c r="Q36" s="92">
        <v>1.6999999999999999E-3</v>
      </c>
      <c r="R36" s="63"/>
      <c r="S36" s="66"/>
      <c r="T36" s="63"/>
      <c r="U36" s="66"/>
      <c r="X36" s="66"/>
      <c r="Y36" s="63"/>
      <c r="Z36" s="66"/>
      <c r="AA36" s="32"/>
      <c r="AC36" s="67">
        <v>43133</v>
      </c>
      <c r="AE36" s="1">
        <v>153.18</v>
      </c>
      <c r="AF36" s="1">
        <v>68.900000000000006</v>
      </c>
      <c r="AG36" s="93">
        <v>66.83</v>
      </c>
      <c r="AH36" s="93">
        <v>168.33</v>
      </c>
      <c r="AI36" s="93">
        <v>517.80999999999995</v>
      </c>
      <c r="AJ36" s="93">
        <v>491.88</v>
      </c>
      <c r="AK36" s="93">
        <v>62.24</v>
      </c>
      <c r="AL36" s="94">
        <v>48.78</v>
      </c>
      <c r="AM36" s="94">
        <v>123.79</v>
      </c>
    </row>
    <row r="37" spans="1:39">
      <c r="A37" s="1" t="s">
        <v>109</v>
      </c>
      <c r="B37" s="63">
        <v>87.777289999999994</v>
      </c>
      <c r="C37" s="2">
        <f t="shared" si="0"/>
        <v>-7.8099576960627751E-4</v>
      </c>
      <c r="D37" s="66">
        <f t="shared" si="0"/>
        <v>1.015153744298952E-2</v>
      </c>
      <c r="E37" s="66">
        <f t="shared" si="0"/>
        <v>5.412719891745593E-3</v>
      </c>
      <c r="F37" s="66">
        <f t="shared" si="0"/>
        <v>2.2412615632954703E-2</v>
      </c>
      <c r="G37" s="63">
        <v>33.060001</v>
      </c>
      <c r="H37" s="66">
        <f t="shared" si="1"/>
        <v>-5.2221341121403628E-3</v>
      </c>
      <c r="I37" s="63">
        <v>1094.8000489999999</v>
      </c>
      <c r="J37" s="66">
        <f t="shared" si="2"/>
        <v>-5.2221341121403628E-3</v>
      </c>
      <c r="K37" s="63">
        <v>30.420712000000002</v>
      </c>
      <c r="L37" s="66">
        <f t="shared" si="3"/>
        <v>-6.0663196294625972E-3</v>
      </c>
      <c r="M37" s="63">
        <v>121.225937</v>
      </c>
      <c r="N37" s="66">
        <f t="shared" si="4"/>
        <v>-5.1973363651128838E-3</v>
      </c>
      <c r="O37" s="66">
        <f t="shared" si="4"/>
        <v>-2.9346286176887185E-2</v>
      </c>
      <c r="P37" s="66">
        <f t="shared" si="4"/>
        <v>9.2846762473761165E-3</v>
      </c>
      <c r="Q37" s="92">
        <v>-1.17E-2</v>
      </c>
      <c r="R37" s="63"/>
      <c r="S37" s="66"/>
      <c r="T37" s="63"/>
      <c r="U37" s="66"/>
      <c r="X37" s="66"/>
      <c r="Y37" s="63"/>
      <c r="Z37" s="66"/>
      <c r="AA37" s="32"/>
      <c r="AC37" s="67">
        <v>43140</v>
      </c>
      <c r="AE37" s="1">
        <v>153.65</v>
      </c>
      <c r="AF37" s="1">
        <v>67.97</v>
      </c>
      <c r="AG37" s="93">
        <v>66.510000000000005</v>
      </c>
      <c r="AH37" s="93">
        <v>161.07</v>
      </c>
      <c r="AI37" s="93">
        <v>517.03</v>
      </c>
      <c r="AJ37" s="93">
        <v>487.94</v>
      </c>
      <c r="AK37" s="93">
        <v>61.57</v>
      </c>
      <c r="AL37" s="94">
        <v>49.41</v>
      </c>
      <c r="AM37" s="94">
        <v>123.86</v>
      </c>
    </row>
    <row r="38" spans="1:39">
      <c r="A38" s="1" t="s">
        <v>110</v>
      </c>
      <c r="B38" s="63">
        <v>90.164291000000006</v>
      </c>
      <c r="C38" s="2">
        <f t="shared" si="0"/>
        <v>-6.7087865563733549E-3</v>
      </c>
      <c r="D38" s="66">
        <f t="shared" si="0"/>
        <v>-2.1846781240895934E-3</v>
      </c>
      <c r="E38" s="66">
        <f t="shared" si="0"/>
        <v>1.4954389113204725E-2</v>
      </c>
      <c r="F38" s="66">
        <f t="shared" si="0"/>
        <v>2.3682292931746451E-2</v>
      </c>
      <c r="G38" s="63">
        <v>32.659999999999997</v>
      </c>
      <c r="H38" s="66">
        <f t="shared" si="1"/>
        <v>-1.3940466237629567E-2</v>
      </c>
      <c r="I38" s="63">
        <v>1126.790039</v>
      </c>
      <c r="J38" s="66">
        <f t="shared" si="2"/>
        <v>-1.3940466237629567E-2</v>
      </c>
      <c r="K38" s="63">
        <v>30.420712000000002</v>
      </c>
      <c r="L38" s="66">
        <f t="shared" si="3"/>
        <v>-2.4413377871252487E-2</v>
      </c>
      <c r="M38" s="63">
        <v>120.19715100000001</v>
      </c>
      <c r="N38" s="66">
        <f t="shared" si="4"/>
        <v>-4.2448979591836406E-3</v>
      </c>
      <c r="O38" s="66">
        <f t="shared" si="4"/>
        <v>-2.0433694745621435E-2</v>
      </c>
      <c r="P38" s="66">
        <f t="shared" si="4"/>
        <v>3.919686425085952E-3</v>
      </c>
      <c r="Q38" s="92">
        <v>3.7000000000000002E-3</v>
      </c>
      <c r="R38" s="63"/>
      <c r="S38" s="66"/>
      <c r="T38" s="63"/>
      <c r="U38" s="66"/>
      <c r="X38" s="66"/>
      <c r="Y38" s="63"/>
      <c r="Z38" s="66"/>
      <c r="AA38" s="32"/>
      <c r="AC38" s="67">
        <v>43147</v>
      </c>
      <c r="AE38" s="1">
        <v>153.53</v>
      </c>
      <c r="AF38" s="1">
        <v>68.66</v>
      </c>
      <c r="AG38" s="93">
        <v>66.87</v>
      </c>
      <c r="AH38" s="93">
        <v>164.68</v>
      </c>
      <c r="AI38" s="93">
        <v>514.33000000000004</v>
      </c>
      <c r="AJ38" s="93">
        <v>484.98</v>
      </c>
      <c r="AK38" s="93">
        <v>61.25</v>
      </c>
      <c r="AL38" s="94">
        <v>47.96</v>
      </c>
      <c r="AM38" s="94">
        <v>125.01</v>
      </c>
    </row>
    <row r="39" spans="1:39">
      <c r="A39" s="1" t="s">
        <v>111</v>
      </c>
      <c r="B39" s="63">
        <v>89.196135999999996</v>
      </c>
      <c r="C39" s="2">
        <f t="shared" si="0"/>
        <v>-2.2950819672130775E-3</v>
      </c>
      <c r="D39" s="66">
        <f t="shared" si="0"/>
        <v>8.0280251058239254E-3</v>
      </c>
      <c r="E39" s="66">
        <f t="shared" si="0"/>
        <v>-2.2985118609105674E-2</v>
      </c>
      <c r="F39" s="66">
        <f t="shared" si="0"/>
        <v>-1.3168821924308925E-2</v>
      </c>
      <c r="G39" s="63">
        <v>33</v>
      </c>
      <c r="H39" s="66">
        <f t="shared" si="1"/>
        <v>-1.9835949207350739E-2</v>
      </c>
      <c r="I39" s="63">
        <v>1078.920044</v>
      </c>
      <c r="J39" s="66">
        <f t="shared" si="2"/>
        <v>-1.9835949207350739E-2</v>
      </c>
      <c r="K39" s="63">
        <v>30.160637000000001</v>
      </c>
      <c r="L39" s="66">
        <f t="shared" si="3"/>
        <v>-8.9191359851206204E-3</v>
      </c>
      <c r="M39" s="63">
        <v>117.28370700000001</v>
      </c>
      <c r="N39" s="66">
        <f t="shared" si="4"/>
        <v>1.967535661583824E-3</v>
      </c>
      <c r="O39" s="66">
        <f t="shared" si="4"/>
        <v>1.6389953171562433E-2</v>
      </c>
      <c r="P39" s="66">
        <f t="shared" si="4"/>
        <v>8.5258964143425757E-3</v>
      </c>
      <c r="Q39" s="92">
        <v>-1.12E-2</v>
      </c>
      <c r="R39" s="63"/>
      <c r="S39" s="66"/>
      <c r="T39" s="63"/>
      <c r="U39" s="66"/>
      <c r="X39" s="66"/>
      <c r="Y39" s="63"/>
      <c r="Z39" s="66"/>
      <c r="AA39" s="32"/>
      <c r="AC39" s="67">
        <v>43154</v>
      </c>
      <c r="AE39" s="1">
        <v>152.5</v>
      </c>
      <c r="AF39" s="1">
        <v>68.510000000000005</v>
      </c>
      <c r="AG39" s="93">
        <v>67.87</v>
      </c>
      <c r="AH39" s="93">
        <v>168.58</v>
      </c>
      <c r="AI39" s="93">
        <v>507.16</v>
      </c>
      <c r="AJ39" s="93">
        <v>473.14</v>
      </c>
      <c r="AK39" s="93">
        <v>60.99</v>
      </c>
      <c r="AL39" s="94">
        <v>46.98</v>
      </c>
      <c r="AM39" s="94">
        <v>125.5</v>
      </c>
    </row>
    <row r="40" spans="1:39">
      <c r="A40" s="1" t="s">
        <v>112</v>
      </c>
      <c r="B40" s="63">
        <v>92.541565000000006</v>
      </c>
      <c r="C40" s="2">
        <f t="shared" si="0"/>
        <v>1.7745645744330057E-3</v>
      </c>
      <c r="D40" s="66">
        <f t="shared" si="0"/>
        <v>2.1575441644946347E-2</v>
      </c>
      <c r="E40" s="66">
        <f t="shared" si="0"/>
        <v>5.1575931232091712E-2</v>
      </c>
      <c r="F40" s="66">
        <f t="shared" si="0"/>
        <v>1.7732628035585406E-2</v>
      </c>
      <c r="G40" s="63">
        <v>35.349997999999999</v>
      </c>
      <c r="H40" s="66">
        <f t="shared" si="1"/>
        <v>-5.6326694830020028E-4</v>
      </c>
      <c r="I40" s="63">
        <v>1160.040039</v>
      </c>
      <c r="J40" s="66">
        <f t="shared" si="2"/>
        <v>-5.6326694830020028E-4</v>
      </c>
      <c r="K40" s="63">
        <v>30.848579000000001</v>
      </c>
      <c r="L40" s="66">
        <f t="shared" si="3"/>
        <v>-2.2541158406551208E-2</v>
      </c>
      <c r="M40" s="63">
        <v>122.59777099999999</v>
      </c>
      <c r="N40" s="66">
        <f t="shared" si="4"/>
        <v>1.8818523973163127E-2</v>
      </c>
      <c r="O40" s="66">
        <f t="shared" si="4"/>
        <v>-3.5811518324607348E-2</v>
      </c>
      <c r="P40" s="66">
        <f t="shared" si="4"/>
        <v>-1.7381686023544194E-3</v>
      </c>
      <c r="Q40" s="92">
        <v>1.2999999999999999E-3</v>
      </c>
      <c r="R40" s="63"/>
      <c r="S40" s="66"/>
      <c r="T40" s="63"/>
      <c r="U40" s="66"/>
      <c r="X40" s="66"/>
      <c r="Y40" s="63"/>
      <c r="Z40" s="66"/>
      <c r="AA40" s="32"/>
      <c r="AC40" s="67">
        <v>43161</v>
      </c>
      <c r="AE40" s="1">
        <v>152.15</v>
      </c>
      <c r="AF40" s="1">
        <v>69.06</v>
      </c>
      <c r="AG40" s="93">
        <v>66.31</v>
      </c>
      <c r="AH40" s="93">
        <v>166.36</v>
      </c>
      <c r="AI40" s="93">
        <v>497.1</v>
      </c>
      <c r="AJ40" s="93">
        <v>468.92</v>
      </c>
      <c r="AK40" s="93">
        <v>61.11</v>
      </c>
      <c r="AL40" s="94">
        <v>47.75</v>
      </c>
      <c r="AM40" s="94">
        <v>126.57</v>
      </c>
    </row>
    <row r="41" spans="1:39">
      <c r="A41" s="1" t="s">
        <v>113</v>
      </c>
      <c r="B41" s="63">
        <v>90.681945999999996</v>
      </c>
      <c r="C41" s="2">
        <f t="shared" si="0"/>
        <v>5.2486550321488329E-4</v>
      </c>
      <c r="D41" s="66">
        <f t="shared" si="0"/>
        <v>-4.2523033309711041E-4</v>
      </c>
      <c r="E41" s="66">
        <f t="shared" si="0"/>
        <v>4.3023089057793937E-3</v>
      </c>
      <c r="F41" s="66">
        <f t="shared" si="0"/>
        <v>-9.9816903904081135E-3</v>
      </c>
      <c r="G41" s="63">
        <v>35.580002</v>
      </c>
      <c r="H41" s="66">
        <f t="shared" si="1"/>
        <v>1.8477517008171986E-2</v>
      </c>
      <c r="I41" s="63">
        <v>1135.7299800000001</v>
      </c>
      <c r="J41" s="66">
        <f t="shared" si="2"/>
        <v>1.8477517008171986E-2</v>
      </c>
      <c r="K41" s="63">
        <v>30.856971999999999</v>
      </c>
      <c r="L41" s="66">
        <f t="shared" si="3"/>
        <v>-1.3635867786625941E-2</v>
      </c>
      <c r="M41" s="63">
        <v>122.487816</v>
      </c>
      <c r="N41" s="66">
        <f t="shared" si="4"/>
        <v>1.0761323482171566E-2</v>
      </c>
      <c r="O41" s="66">
        <f t="shared" si="4"/>
        <v>3.9096437880104199E-3</v>
      </c>
      <c r="P41" s="66">
        <f t="shared" si="4"/>
        <v>6.7273446774832497E-3</v>
      </c>
      <c r="Q41" s="92">
        <v>1.54E-2</v>
      </c>
      <c r="R41" s="63"/>
      <c r="S41" s="66"/>
      <c r="T41" s="63"/>
      <c r="U41" s="66"/>
      <c r="X41" s="66"/>
      <c r="Y41" s="63"/>
      <c r="Z41" s="66"/>
      <c r="AA41" s="32"/>
      <c r="AC41" s="67">
        <v>43168</v>
      </c>
      <c r="AE41" s="1">
        <v>152.41999999999999</v>
      </c>
      <c r="AF41" s="1">
        <v>70.55</v>
      </c>
      <c r="AG41" s="93">
        <v>69.73</v>
      </c>
      <c r="AH41" s="93">
        <v>169.31</v>
      </c>
      <c r="AI41" s="93">
        <v>496.82</v>
      </c>
      <c r="AJ41" s="93">
        <v>458.35</v>
      </c>
      <c r="AK41" s="93">
        <v>62.26</v>
      </c>
      <c r="AL41" s="94">
        <v>46.04</v>
      </c>
      <c r="AM41" s="94">
        <v>126.35</v>
      </c>
    </row>
    <row r="42" spans="1:39">
      <c r="A42" s="1" t="s">
        <v>114</v>
      </c>
      <c r="B42" s="63">
        <v>83.569266999999996</v>
      </c>
      <c r="C42" s="2">
        <f t="shared" si="0"/>
        <v>3.737704918032742E-3</v>
      </c>
      <c r="D42" s="66">
        <f t="shared" si="0"/>
        <v>1.5456608054452687E-2</v>
      </c>
      <c r="E42" s="66">
        <f t="shared" si="0"/>
        <v>2.6845637583892551E-2</v>
      </c>
      <c r="F42" s="66">
        <f t="shared" si="0"/>
        <v>2.2551008232907774E-2</v>
      </c>
      <c r="G42" s="63">
        <v>31.030000999999999</v>
      </c>
      <c r="H42" s="66">
        <f t="shared" si="1"/>
        <v>5.2964426877470487E-3</v>
      </c>
      <c r="I42" s="63">
        <v>1021.570007</v>
      </c>
      <c r="J42" s="66">
        <f t="shared" si="2"/>
        <v>5.2964426877470487E-3</v>
      </c>
      <c r="K42" s="63">
        <v>28.935752999999998</v>
      </c>
      <c r="L42" s="66">
        <f t="shared" si="3"/>
        <v>1.0993143109931365E-2</v>
      </c>
      <c r="M42" s="63">
        <v>114.626167</v>
      </c>
      <c r="N42" s="66">
        <f t="shared" si="4"/>
        <v>1.6367392340696028E-2</v>
      </c>
      <c r="O42" s="66">
        <f t="shared" si="4"/>
        <v>1.8390307226308987E-2</v>
      </c>
      <c r="P42" s="66">
        <f t="shared" si="4"/>
        <v>2.5943396226415071E-2</v>
      </c>
      <c r="Q42" s="92">
        <v>2.0999999999999999E-3</v>
      </c>
      <c r="R42" s="63"/>
      <c r="S42" s="66"/>
      <c r="T42" s="63"/>
      <c r="U42" s="66"/>
      <c r="X42" s="66"/>
      <c r="Y42" s="63"/>
      <c r="Z42" s="66"/>
      <c r="AA42" s="32"/>
      <c r="AC42" s="67">
        <v>43175</v>
      </c>
      <c r="AE42" s="1">
        <v>152.5</v>
      </c>
      <c r="AF42" s="1">
        <v>70.52</v>
      </c>
      <c r="AG42" s="93">
        <v>70.03</v>
      </c>
      <c r="AH42" s="93">
        <v>167.62</v>
      </c>
      <c r="AI42" s="93">
        <v>506</v>
      </c>
      <c r="AJ42" s="93">
        <v>452.1</v>
      </c>
      <c r="AK42" s="93">
        <v>62.93</v>
      </c>
      <c r="AL42" s="94">
        <v>46.22</v>
      </c>
      <c r="AM42" s="94">
        <v>127.2</v>
      </c>
    </row>
    <row r="43" spans="1:39">
      <c r="A43" s="1" t="s">
        <v>115</v>
      </c>
      <c r="B43" s="63">
        <v>87.489861000000005</v>
      </c>
      <c r="C43" s="2">
        <f t="shared" si="0"/>
        <v>1.9402887567779442E-2</v>
      </c>
      <c r="D43" s="66">
        <f t="shared" si="0"/>
        <v>-1.3964530093561558E-3</v>
      </c>
      <c r="E43" s="66">
        <f t="shared" si="0"/>
        <v>-1.9885968571825792E-2</v>
      </c>
      <c r="F43" s="66">
        <f t="shared" si="0"/>
        <v>3.2088681446907817E-2</v>
      </c>
      <c r="G43" s="63">
        <v>29.01</v>
      </c>
      <c r="H43" s="66">
        <f t="shared" si="1"/>
        <v>4.8360462373200821E-3</v>
      </c>
      <c r="I43" s="63">
        <v>1031.790039</v>
      </c>
      <c r="J43" s="66">
        <f t="shared" si="2"/>
        <v>4.8360462373200821E-3</v>
      </c>
      <c r="K43" s="63">
        <v>29.774715</v>
      </c>
      <c r="L43" s="66">
        <f t="shared" si="3"/>
        <v>-6.5635460651481645E-5</v>
      </c>
      <c r="M43" s="63">
        <v>117.420815</v>
      </c>
      <c r="N43" s="66">
        <f t="shared" si="4"/>
        <v>-1.5634771732329596E-4</v>
      </c>
      <c r="O43" s="66">
        <f t="shared" si="4"/>
        <v>5.1200339919269103E-2</v>
      </c>
      <c r="P43" s="66">
        <f t="shared" si="4"/>
        <v>1.371647509578538E-2</v>
      </c>
      <c r="Q43" s="92">
        <v>5.9999999999999995E-4</v>
      </c>
      <c r="R43" s="63"/>
      <c r="S43" s="66"/>
      <c r="T43" s="63"/>
      <c r="U43" s="66"/>
      <c r="X43" s="66"/>
      <c r="Y43" s="63"/>
      <c r="Z43" s="66"/>
      <c r="AA43" s="32"/>
      <c r="AC43" s="67">
        <v>43182</v>
      </c>
      <c r="AE43" s="1">
        <v>153.07</v>
      </c>
      <c r="AF43" s="1">
        <v>71.61</v>
      </c>
      <c r="AG43" s="93">
        <v>71.91</v>
      </c>
      <c r="AH43" s="93">
        <v>171.4</v>
      </c>
      <c r="AI43" s="93">
        <v>508.68</v>
      </c>
      <c r="AJ43" s="93">
        <v>457.07</v>
      </c>
      <c r="AK43" s="93">
        <v>63.96</v>
      </c>
      <c r="AL43" s="94">
        <v>47.07</v>
      </c>
      <c r="AM43" s="94">
        <v>130.5</v>
      </c>
    </row>
    <row r="44" spans="1:39">
      <c r="A44" s="1" t="s">
        <v>116</v>
      </c>
      <c r="B44" s="63">
        <v>86.492928000000006</v>
      </c>
      <c r="C44" s="2">
        <f t="shared" si="0"/>
        <v>8.2030248654191302E-3</v>
      </c>
      <c r="D44" s="66">
        <f t="shared" si="0"/>
        <v>-6.152985596420248E-3</v>
      </c>
      <c r="E44" s="66">
        <f t="shared" si="0"/>
        <v>8.5130533484675686E-3</v>
      </c>
      <c r="F44" s="66">
        <f t="shared" si="0"/>
        <v>-6.7834934991523206E-4</v>
      </c>
      <c r="G44" s="63">
        <v>28.1</v>
      </c>
      <c r="H44" s="66">
        <f t="shared" si="1"/>
        <v>-1.535782760104857E-2</v>
      </c>
      <c r="I44" s="63">
        <v>1007.039978</v>
      </c>
      <c r="J44" s="66">
        <f t="shared" si="2"/>
        <v>-1.535782760104857E-2</v>
      </c>
      <c r="K44" s="63">
        <v>29.506245</v>
      </c>
      <c r="L44" s="66">
        <f t="shared" si="3"/>
        <v>-2.6037108349378558E-3</v>
      </c>
      <c r="M44" s="63">
        <v>117.37500799999999</v>
      </c>
      <c r="N44" s="66">
        <f t="shared" si="4"/>
        <v>1.5011727912431489E-2</v>
      </c>
      <c r="O44" s="66">
        <f t="shared" si="4"/>
        <v>-5.6588520614388451E-3</v>
      </c>
      <c r="P44" s="66">
        <f t="shared" si="4"/>
        <v>-2.8724771335701524E-3</v>
      </c>
      <c r="Q44" s="92">
        <v>-1.66E-2</v>
      </c>
      <c r="R44" s="63"/>
      <c r="S44" s="66"/>
      <c r="T44" s="63"/>
      <c r="U44" s="66"/>
      <c r="X44" s="66"/>
      <c r="Y44" s="63"/>
      <c r="Z44" s="66"/>
      <c r="AA44" s="32"/>
      <c r="AC44" s="67">
        <v>43189</v>
      </c>
      <c r="AE44" s="1">
        <v>156.04</v>
      </c>
      <c r="AF44" s="1">
        <v>71.510000000000005</v>
      </c>
      <c r="AG44" s="93">
        <v>70.48</v>
      </c>
      <c r="AH44" s="93">
        <v>176.9</v>
      </c>
      <c r="AI44" s="93">
        <v>511.14</v>
      </c>
      <c r="AJ44" s="93">
        <v>457.04</v>
      </c>
      <c r="AK44" s="93">
        <v>63.95</v>
      </c>
      <c r="AL44" s="94">
        <v>49.48</v>
      </c>
      <c r="AM44" s="94">
        <v>132.29</v>
      </c>
    </row>
    <row r="45" spans="1:39">
      <c r="A45" s="1" t="s">
        <v>117</v>
      </c>
      <c r="B45" s="63">
        <v>89.224875999999995</v>
      </c>
      <c r="C45" s="2">
        <f t="shared" si="0"/>
        <v>1.9132977370963766E-2</v>
      </c>
      <c r="D45" s="66">
        <f t="shared" si="0"/>
        <v>1.2663571127058311E-3</v>
      </c>
      <c r="E45" s="66">
        <f t="shared" si="0"/>
        <v>3.2357906584131119E-3</v>
      </c>
      <c r="F45" s="66">
        <f t="shared" si="0"/>
        <v>5.9395859260097938E-3</v>
      </c>
      <c r="G45" s="63">
        <v>28.76</v>
      </c>
      <c r="H45" s="66">
        <f t="shared" si="1"/>
        <v>1.3689920324266299E-2</v>
      </c>
      <c r="I45" s="63">
        <v>1029.2700199999999</v>
      </c>
      <c r="J45" s="66">
        <f t="shared" si="2"/>
        <v>1.3689920324266299E-2</v>
      </c>
      <c r="K45" s="63">
        <v>30.471048</v>
      </c>
      <c r="L45" s="66">
        <f t="shared" si="3"/>
        <v>2.1761544367664712E-2</v>
      </c>
      <c r="M45" s="63">
        <v>119.684029</v>
      </c>
      <c r="N45" s="66">
        <f t="shared" si="4"/>
        <v>7.5489138807581131E-3</v>
      </c>
      <c r="O45" s="66">
        <f t="shared" si="4"/>
        <v>-1.4227642276422821E-2</v>
      </c>
      <c r="P45" s="66">
        <f t="shared" si="4"/>
        <v>-4.927602152983138E-3</v>
      </c>
      <c r="Q45" s="92">
        <v>-5.0000000000000001E-4</v>
      </c>
      <c r="R45" s="63"/>
      <c r="S45" s="66"/>
      <c r="T45" s="63"/>
      <c r="U45" s="66"/>
      <c r="X45" s="66"/>
      <c r="Y45" s="63"/>
      <c r="Z45" s="66"/>
      <c r="AA45" s="32"/>
      <c r="AC45" s="67">
        <v>43196</v>
      </c>
      <c r="AE45" s="1">
        <v>157.32</v>
      </c>
      <c r="AF45" s="1">
        <v>71.069999999999993</v>
      </c>
      <c r="AG45" s="93">
        <v>71.08</v>
      </c>
      <c r="AH45" s="93">
        <v>176.78</v>
      </c>
      <c r="AI45" s="93">
        <v>503.29</v>
      </c>
      <c r="AJ45" s="93">
        <v>455.85</v>
      </c>
      <c r="AK45" s="93">
        <v>64.91</v>
      </c>
      <c r="AL45" s="94">
        <v>49.2</v>
      </c>
      <c r="AM45" s="94">
        <v>131.91</v>
      </c>
    </row>
    <row r="46" spans="1:39">
      <c r="A46" s="68" t="s">
        <v>3</v>
      </c>
      <c r="B46" s="69"/>
      <c r="C46" s="70">
        <f t="shared" ref="C46:Q46" si="5">AVERAGE(C3:C45)*252</f>
        <v>0.49286367381389884</v>
      </c>
      <c r="D46" s="70">
        <f t="shared" si="5"/>
        <v>0.36406161255663927</v>
      </c>
      <c r="E46" s="70">
        <f t="shared" si="5"/>
        <v>0.43999363458514645</v>
      </c>
      <c r="F46" s="70">
        <f t="shared" si="5"/>
        <v>-0.3418455610782537</v>
      </c>
      <c r="G46" s="70">
        <f t="shared" si="5"/>
        <v>5720.5172444651162</v>
      </c>
      <c r="H46" s="70">
        <f t="shared" si="5"/>
        <v>1.6933782908934977E-2</v>
      </c>
      <c r="I46" s="70">
        <f t="shared" si="5"/>
        <v>256053.80253599997</v>
      </c>
      <c r="J46" s="70">
        <f t="shared" si="5"/>
        <v>1.6933782908934977E-2</v>
      </c>
      <c r="K46" s="70">
        <f t="shared" si="5"/>
        <v>7380.2485640930236</v>
      </c>
      <c r="L46" s="70">
        <f t="shared" si="5"/>
        <v>-7.5326077286145987E-2</v>
      </c>
      <c r="M46" s="70">
        <f t="shared" si="5"/>
        <v>30944.260086697672</v>
      </c>
      <c r="N46" s="70">
        <f t="shared" si="5"/>
        <v>0.50522027402708958</v>
      </c>
      <c r="O46" s="70">
        <f t="shared" si="5"/>
        <v>-0.93797710702196202</v>
      </c>
      <c r="P46" s="70">
        <f t="shared" si="5"/>
        <v>0.42453953357907515</v>
      </c>
      <c r="Q46" s="70">
        <f t="shared" si="5"/>
        <v>0.11955348837209297</v>
      </c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1"/>
      <c r="AD46" s="72"/>
      <c r="AE46" s="1">
        <v>160.33000000000001</v>
      </c>
      <c r="AF46" s="1">
        <v>71.16</v>
      </c>
      <c r="AG46" s="93">
        <v>71.31</v>
      </c>
      <c r="AH46" s="93">
        <v>177.83</v>
      </c>
      <c r="AI46" s="93">
        <v>510.18</v>
      </c>
      <c r="AJ46" s="93">
        <v>465.77</v>
      </c>
      <c r="AK46" s="93">
        <v>65.400000000000006</v>
      </c>
      <c r="AL46" s="94">
        <v>48.5</v>
      </c>
      <c r="AM46" s="94">
        <v>131.26</v>
      </c>
    </row>
    <row r="47" spans="1:39">
      <c r="A47" s="73" t="s">
        <v>13</v>
      </c>
      <c r="B47" s="69"/>
      <c r="C47" s="70">
        <f>_xlfn.STDEV.S(C3:C45)*SQRT(252)</f>
        <v>0.14569785082295891</v>
      </c>
      <c r="D47" s="70">
        <f>_xlfn.STDEV.S(D3:D45)*SQRT(252)</f>
        <v>0.1716736329028799</v>
      </c>
      <c r="E47" s="70">
        <f>_xlfn.STDEV.S(E3:E45)*SQRT(252)</f>
        <v>0.25674167909504819</v>
      </c>
      <c r="F47" s="70">
        <f t="shared" ref="F47:M47" si="6">_xlfn.STDEV.S(F3:G45)*SQRT(252)</f>
        <v>192.62553046629773</v>
      </c>
      <c r="G47" s="70">
        <f t="shared" si="6"/>
        <v>192.61478464277926</v>
      </c>
      <c r="H47" s="70">
        <f t="shared" si="6"/>
        <v>8156.7583644144261</v>
      </c>
      <c r="I47" s="70">
        <f t="shared" si="6"/>
        <v>8156.7583644144279</v>
      </c>
      <c r="J47" s="70">
        <f t="shared" si="6"/>
        <v>234.29310333121839</v>
      </c>
      <c r="K47" s="70">
        <f t="shared" si="6"/>
        <v>234.2960231815708</v>
      </c>
      <c r="L47" s="70">
        <f t="shared" si="6"/>
        <v>981.87062451783504</v>
      </c>
      <c r="M47" s="70">
        <f t="shared" si="6"/>
        <v>981.85226086394414</v>
      </c>
      <c r="N47" s="70">
        <f>_xlfn.STDEV.S(N3:N45)*SQRT(252)</f>
        <v>0.19359886853617883</v>
      </c>
      <c r="O47" s="70">
        <f>_xlfn.STDEV.S(O3:O45)*SQRT(252)</f>
        <v>0.42074179538845752</v>
      </c>
      <c r="P47" s="70">
        <f>_xlfn.STDEV.S(P3:P45)*SQRT(252)</f>
        <v>0.19168204638060193</v>
      </c>
      <c r="Q47" s="70">
        <f>_xlfn.STDEV.S(Q3:Q45)*SQRT(252)</f>
        <v>0.12543783784325482</v>
      </c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1"/>
      <c r="AD47" s="72"/>
      <c r="AG47" s="93"/>
      <c r="AH47" s="93"/>
      <c r="AI47" s="93"/>
      <c r="AJ47" s="93"/>
      <c r="AK47" s="93"/>
      <c r="AL47" s="94"/>
      <c r="AM47" s="94"/>
    </row>
    <row r="48" spans="1:39">
      <c r="A48" s="68" t="s">
        <v>5</v>
      </c>
      <c r="B48" s="69"/>
      <c r="C48" s="74">
        <f>_xlfn.COVARIANCE.S(C3:C45,$Q$3:$Q$45)*252</f>
        <v>1.9996820072344292E-3</v>
      </c>
      <c r="D48" s="74">
        <f t="shared" ref="D48:P48" si="7">_xlfn.COVARIANCE.S(D3:D45,$Q$3:$Q$45)*252</f>
        <v>-4.3965732017545913E-3</v>
      </c>
      <c r="E48" s="74">
        <f t="shared" si="7"/>
        <v>-5.6679121125520074E-3</v>
      </c>
      <c r="F48" s="74">
        <f t="shared" si="7"/>
        <v>3.0143122538775508E-3</v>
      </c>
      <c r="G48" s="74">
        <f t="shared" si="7"/>
        <v>-6.5889118311628025E-2</v>
      </c>
      <c r="H48" s="74">
        <f t="shared" si="7"/>
        <v>1.4597680343437501E-2</v>
      </c>
      <c r="I48" s="74">
        <f t="shared" si="7"/>
        <v>-0.44750011259998768</v>
      </c>
      <c r="J48" s="74">
        <f t="shared" si="7"/>
        <v>1.4597680343437501E-2</v>
      </c>
      <c r="K48" s="74">
        <f t="shared" si="7"/>
        <v>-0.26208005030232606</v>
      </c>
      <c r="L48" s="74">
        <f t="shared" si="7"/>
        <v>3.1503665920843377E-3</v>
      </c>
      <c r="M48" s="74">
        <f t="shared" si="7"/>
        <v>0.26544131863255765</v>
      </c>
      <c r="N48" s="74">
        <f t="shared" si="7"/>
        <v>3.364150665765201E-3</v>
      </c>
      <c r="O48" s="74">
        <f t="shared" si="7"/>
        <v>6.8562515678652694E-3</v>
      </c>
      <c r="P48" s="74">
        <f t="shared" si="7"/>
        <v>1.3599560306070187E-3</v>
      </c>
      <c r="Q48" s="74">
        <f>_xlfn.COVARIANCE.S(Q3:Q45,$Q$3:$Q$45)*252</f>
        <v>1.57346511627907E-2</v>
      </c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1"/>
      <c r="AD48" s="72"/>
      <c r="AG48" s="93"/>
      <c r="AH48" s="93"/>
      <c r="AI48" s="93"/>
      <c r="AJ48" s="93"/>
      <c r="AK48" s="93"/>
    </row>
    <row r="49" spans="1:37">
      <c r="A49" s="75" t="s">
        <v>6</v>
      </c>
      <c r="B49" s="69"/>
      <c r="C49" s="74">
        <f>_xlfn.VAR.S(C3:C45)*252</f>
        <v>2.1227863734429187E-2</v>
      </c>
      <c r="D49" s="74">
        <f>_xlfn.VAR.S(D3:D45)*252</f>
        <v>2.9471836234072762E-2</v>
      </c>
      <c r="E49" s="74">
        <f t="shared" ref="E49:L49" si="8">_xlfn.VAR.S(E3:E45)*252</f>
        <v>6.591628978454471E-2</v>
      </c>
      <c r="F49" s="74">
        <f t="shared" si="8"/>
        <v>7.0239446704775402E-2</v>
      </c>
      <c r="G49" s="74">
        <f t="shared" si="8"/>
        <v>8609.4825742326866</v>
      </c>
      <c r="H49" s="74">
        <f t="shared" si="8"/>
        <v>3.0836202346667934E-2</v>
      </c>
      <c r="I49" s="74">
        <f t="shared" si="8"/>
        <v>1465839.9317927153</v>
      </c>
      <c r="J49" s="74">
        <f t="shared" si="8"/>
        <v>3.0836202346667934E-2</v>
      </c>
      <c r="K49" s="74">
        <f t="shared" si="8"/>
        <v>449.27806371177473</v>
      </c>
      <c r="L49" s="74">
        <f t="shared" si="8"/>
        <v>3.3502013505586348E-2</v>
      </c>
      <c r="M49" s="74">
        <f>_xlfn.VAR.S(M3:M45)*252</f>
        <v>5953.4843475975031</v>
      </c>
      <c r="N49" s="74">
        <f>_xlfn.VAR.S(N3:N45)*252</f>
        <v>3.7480521898488647E-2</v>
      </c>
      <c r="O49" s="74">
        <f t="shared" ref="O49:Q49" si="9">_xlfn.VAR.S(O3:O45)*252</f>
        <v>0.17702365838670261</v>
      </c>
      <c r="P49" s="74">
        <f t="shared" si="9"/>
        <v>3.6742006904655219E-2</v>
      </c>
      <c r="Q49" s="74">
        <f t="shared" si="9"/>
        <v>1.5734651162790696E-2</v>
      </c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1"/>
      <c r="AD49" s="72"/>
      <c r="AG49" s="93"/>
      <c r="AH49" s="93"/>
      <c r="AI49" s="93"/>
      <c r="AJ49" s="93"/>
      <c r="AK49" s="93"/>
    </row>
    <row r="50" spans="1:37">
      <c r="A50" s="68" t="s">
        <v>22</v>
      </c>
      <c r="B50" s="69"/>
      <c r="C50" s="76">
        <f>C48/C49</f>
        <v>9.4200812302708159E-2</v>
      </c>
      <c r="D50" s="76">
        <f t="shared" ref="D50:Q50" si="10">D48/D49</f>
        <v>-0.14917880130833713</v>
      </c>
      <c r="E50" s="76">
        <f t="shared" si="10"/>
        <v>-8.5986516096070595E-2</v>
      </c>
      <c r="F50" s="76">
        <f t="shared" si="10"/>
        <v>4.2914806355850967E-2</v>
      </c>
      <c r="G50" s="76">
        <f t="shared" si="10"/>
        <v>-7.6530869008118463E-6</v>
      </c>
      <c r="H50" s="76">
        <f t="shared" si="10"/>
        <v>0.47339423251044016</v>
      </c>
      <c r="I50" s="76">
        <f t="shared" si="10"/>
        <v>-3.0528579751043974E-7</v>
      </c>
      <c r="J50" s="76">
        <f t="shared" si="10"/>
        <v>0.47339423251044016</v>
      </c>
      <c r="K50" s="76">
        <f t="shared" si="10"/>
        <v>-5.8333595933243298E-4</v>
      </c>
      <c r="L50" s="76">
        <f t="shared" si="10"/>
        <v>9.4035141844803591E-2</v>
      </c>
      <c r="M50" s="76">
        <f t="shared" si="10"/>
        <v>4.4585876628646058E-5</v>
      </c>
      <c r="N50" s="76">
        <f t="shared" si="10"/>
        <v>8.9757305804774715E-2</v>
      </c>
      <c r="O50" s="76">
        <f t="shared" si="10"/>
        <v>3.8730707693815723E-2</v>
      </c>
      <c r="P50" s="76">
        <f t="shared" si="10"/>
        <v>3.7013656715488563E-2</v>
      </c>
      <c r="Q50" s="76">
        <f t="shared" si="10"/>
        <v>1.0000000000000002</v>
      </c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1"/>
      <c r="AD50" s="72"/>
      <c r="AG50" s="93"/>
      <c r="AH50" s="93"/>
      <c r="AI50" s="93"/>
      <c r="AJ50" s="93"/>
      <c r="AK50" s="93"/>
    </row>
    <row r="51" spans="1:37">
      <c r="A51" s="68" t="s">
        <v>23</v>
      </c>
      <c r="B51" s="69"/>
      <c r="C51" s="77">
        <f t="shared" ref="C51:P51" si="11">C46-($AB46+C50*($Z46-$AB46))</f>
        <v>0.49286367381389884</v>
      </c>
      <c r="D51" s="77">
        <f t="shared" si="11"/>
        <v>0.36406161255663927</v>
      </c>
      <c r="E51" s="77">
        <f t="shared" si="11"/>
        <v>0.43999363458514645</v>
      </c>
      <c r="F51" s="77">
        <f t="shared" si="11"/>
        <v>-0.3418455610782537</v>
      </c>
      <c r="G51" s="77">
        <f t="shared" si="11"/>
        <v>5720.5172444651162</v>
      </c>
      <c r="H51" s="77">
        <f t="shared" si="11"/>
        <v>1.6933782908934977E-2</v>
      </c>
      <c r="I51" s="77">
        <f t="shared" si="11"/>
        <v>256053.80253599997</v>
      </c>
      <c r="J51" s="77">
        <f t="shared" si="11"/>
        <v>1.6933782908934977E-2</v>
      </c>
      <c r="K51" s="77">
        <f t="shared" si="11"/>
        <v>7380.2485640930236</v>
      </c>
      <c r="L51" s="77">
        <f t="shared" si="11"/>
        <v>-7.5326077286145987E-2</v>
      </c>
      <c r="M51" s="77">
        <f t="shared" si="11"/>
        <v>30944.260086697672</v>
      </c>
      <c r="N51" s="77">
        <f t="shared" si="11"/>
        <v>0.50522027402708958</v>
      </c>
      <c r="O51" s="77">
        <f t="shared" si="11"/>
        <v>-0.93797710702196202</v>
      </c>
      <c r="P51" s="77">
        <f t="shared" si="11"/>
        <v>0.42453953357907515</v>
      </c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2"/>
      <c r="AB51" s="78"/>
      <c r="AC51" s="71"/>
      <c r="AD51" s="72"/>
      <c r="AG51" s="93"/>
      <c r="AH51" s="93"/>
      <c r="AI51" s="93"/>
      <c r="AJ51" s="93"/>
      <c r="AK51" s="93"/>
    </row>
    <row r="52" spans="1:37">
      <c r="A52" s="75" t="s">
        <v>10</v>
      </c>
      <c r="B52" s="69"/>
      <c r="C52" s="77">
        <f t="shared" ref="C52:P52" si="12">(C46-$AB46)/C50</f>
        <v>5.2320533312400066</v>
      </c>
      <c r="D52" s="77">
        <f t="shared" si="12"/>
        <v>-2.4404379802205383</v>
      </c>
      <c r="E52" s="77">
        <f t="shared" si="12"/>
        <v>-5.1170073467513504</v>
      </c>
      <c r="F52" s="77">
        <f t="shared" si="12"/>
        <v>-7.9656787506777782</v>
      </c>
      <c r="G52" s="77">
        <f t="shared" si="12"/>
        <v>-747478412.12390757</v>
      </c>
      <c r="H52" s="77">
        <f t="shared" si="12"/>
        <v>3.5770995390319887E-2</v>
      </c>
      <c r="I52" s="77">
        <f t="shared" si="12"/>
        <v>-838734735202.49109</v>
      </c>
      <c r="J52" s="77">
        <f t="shared" si="12"/>
        <v>3.5770995390319887E-2</v>
      </c>
      <c r="K52" s="77">
        <f t="shared" si="12"/>
        <v>-12651797.726543289</v>
      </c>
      <c r="L52" s="77">
        <f t="shared" si="12"/>
        <v>-0.80104177872634885</v>
      </c>
      <c r="M52" s="77">
        <f t="shared" si="12"/>
        <v>694037269.79355252</v>
      </c>
      <c r="N52" s="77">
        <f t="shared" si="12"/>
        <v>5.6287370648798367</v>
      </c>
      <c r="O52" s="77">
        <f t="shared" si="12"/>
        <v>-24.217918103565463</v>
      </c>
      <c r="P52" s="77">
        <f t="shared" si="12"/>
        <v>11.469807937172128</v>
      </c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2"/>
      <c r="AB52" s="78"/>
      <c r="AC52" s="71"/>
      <c r="AD52" s="72"/>
      <c r="AG52" s="93"/>
      <c r="AH52" s="93"/>
      <c r="AJ52" s="93"/>
      <c r="AK52" s="93"/>
    </row>
    <row r="53" spans="1:37">
      <c r="A53" s="75" t="s">
        <v>11</v>
      </c>
      <c r="B53" s="69"/>
      <c r="C53" s="77">
        <f t="shared" ref="C53:P53" si="13">(C46-$AB46)/C47</f>
        <v>3.3827792999691515</v>
      </c>
      <c r="D53" s="77">
        <f t="shared" si="13"/>
        <v>2.120661201144372</v>
      </c>
      <c r="E53" s="77">
        <f t="shared" si="13"/>
        <v>1.7137600569413456</v>
      </c>
      <c r="F53" s="77">
        <f t="shared" si="13"/>
        <v>-1.7746638270157232E-3</v>
      </c>
      <c r="G53" s="77">
        <f t="shared" si="13"/>
        <v>29.699263507078697</v>
      </c>
      <c r="H53" s="77">
        <f t="shared" si="13"/>
        <v>2.0760432211418895E-6</v>
      </c>
      <c r="I53" s="77">
        <f t="shared" si="13"/>
        <v>31.39161307672034</v>
      </c>
      <c r="J53" s="77">
        <f t="shared" si="13"/>
        <v>7.2276062198023028E-5</v>
      </c>
      <c r="K53" s="77">
        <f t="shared" si="13"/>
        <v>31.499674914983949</v>
      </c>
      <c r="L53" s="77">
        <f t="shared" si="13"/>
        <v>-7.6716906897114062E-5</v>
      </c>
      <c r="M53" s="77">
        <f t="shared" si="13"/>
        <v>31.516208008187942</v>
      </c>
      <c r="N53" s="77">
        <f t="shared" si="13"/>
        <v>2.6096241049708224</v>
      </c>
      <c r="O53" s="77">
        <f t="shared" si="13"/>
        <v>-2.2293414091556025</v>
      </c>
      <c r="P53" s="77">
        <f t="shared" si="13"/>
        <v>2.2148111500026131</v>
      </c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2"/>
      <c r="AB53" s="78"/>
      <c r="AC53" s="71"/>
      <c r="AD53" s="72"/>
      <c r="AG53" s="93"/>
      <c r="AH53" s="93"/>
      <c r="AK53" s="1"/>
    </row>
    <row r="54" spans="1:37">
      <c r="A54" s="75" t="s">
        <v>118</v>
      </c>
      <c r="B54" s="69"/>
      <c r="C54" s="78">
        <v>8.1875885413144819E-2</v>
      </c>
      <c r="D54" s="78">
        <v>7.9144388733300389E-2</v>
      </c>
      <c r="E54" s="78">
        <v>8.1569277869326121E-2</v>
      </c>
      <c r="F54" s="78">
        <v>5.9741444787584523E-2</v>
      </c>
      <c r="G54" s="69"/>
      <c r="H54" s="78">
        <v>4.154872629138609E-2</v>
      </c>
      <c r="I54" s="69"/>
      <c r="J54" s="78">
        <v>6.0814307199214802E-2</v>
      </c>
      <c r="K54" s="69"/>
      <c r="L54" s="78">
        <v>3.1815033432538581E-2</v>
      </c>
      <c r="M54" s="69"/>
      <c r="N54" s="78">
        <v>4.5494251489654254E-2</v>
      </c>
      <c r="O54" s="78">
        <v>5.1916999704315361E-2</v>
      </c>
      <c r="P54" s="78">
        <v>4.820372768596709E-2</v>
      </c>
      <c r="Q54" s="78"/>
      <c r="R54" s="69"/>
      <c r="S54" s="78"/>
      <c r="T54" s="69"/>
      <c r="U54" s="78"/>
      <c r="V54" s="72"/>
      <c r="W54" s="69"/>
      <c r="X54" s="78"/>
      <c r="Y54" s="69"/>
      <c r="Z54" s="78"/>
      <c r="AA54" s="72"/>
      <c r="AB54" s="78"/>
      <c r="AC54" s="71"/>
      <c r="AD54" s="72"/>
      <c r="AK54" s="1"/>
    </row>
    <row r="55" spans="1:37">
      <c r="A55" s="75" t="s">
        <v>25</v>
      </c>
      <c r="B55" s="69"/>
      <c r="C55" s="70">
        <f t="shared" ref="C55:AA55" si="14">C54*C46</f>
        <v>4.0353649681488364E-2</v>
      </c>
      <c r="D55" s="70">
        <f t="shared" si="14"/>
        <v>2.8813433787054851E-2</v>
      </c>
      <c r="E55" s="70">
        <f t="shared" si="14"/>
        <v>3.5889963040210554E-2</v>
      </c>
      <c r="F55" s="70">
        <f t="shared" si="14"/>
        <v>-2.0422347713037345E-2</v>
      </c>
      <c r="G55" s="70">
        <f t="shared" si="14"/>
        <v>0</v>
      </c>
      <c r="H55" s="70">
        <f t="shared" si="14"/>
        <v>7.0357711116109112E-4</v>
      </c>
      <c r="I55" s="70">
        <f t="shared" si="14"/>
        <v>0</v>
      </c>
      <c r="J55" s="70">
        <f t="shared" si="14"/>
        <v>1.0298162758687849E-3</v>
      </c>
      <c r="K55" s="70">
        <f t="shared" si="14"/>
        <v>0</v>
      </c>
      <c r="L55" s="70">
        <f t="shared" si="14"/>
        <v>-2.3965016672007197E-3</v>
      </c>
      <c r="M55" s="70">
        <f t="shared" si="14"/>
        <v>0</v>
      </c>
      <c r="N55" s="70">
        <f t="shared" si="14"/>
        <v>2.2984618204260451E-2</v>
      </c>
      <c r="O55" s="70">
        <f t="shared" si="14"/>
        <v>-4.8696957187913781E-2</v>
      </c>
      <c r="P55" s="70">
        <f t="shared" si="14"/>
        <v>2.046438806857322E-2</v>
      </c>
      <c r="Q55" s="70">
        <f t="shared" si="14"/>
        <v>0</v>
      </c>
      <c r="R55" s="70">
        <f t="shared" si="14"/>
        <v>0</v>
      </c>
      <c r="S55" s="70">
        <f t="shared" si="14"/>
        <v>0</v>
      </c>
      <c r="T55" s="70">
        <f t="shared" si="14"/>
        <v>0</v>
      </c>
      <c r="U55" s="70">
        <f t="shared" si="14"/>
        <v>0</v>
      </c>
      <c r="V55" s="70">
        <f t="shared" si="14"/>
        <v>0</v>
      </c>
      <c r="W55" s="70">
        <f t="shared" si="14"/>
        <v>0</v>
      </c>
      <c r="X55" s="70">
        <f t="shared" si="14"/>
        <v>0</v>
      </c>
      <c r="Y55" s="70">
        <f t="shared" si="14"/>
        <v>0</v>
      </c>
      <c r="Z55" s="70">
        <f t="shared" si="14"/>
        <v>0</v>
      </c>
      <c r="AA55" s="70">
        <f t="shared" si="14"/>
        <v>0</v>
      </c>
      <c r="AB55" s="75" t="s">
        <v>119</v>
      </c>
      <c r="AC55" s="79"/>
      <c r="AD55" s="79">
        <f>SUM(C55:Z55)</f>
        <v>7.8723639600465481E-2</v>
      </c>
      <c r="AK55" s="1"/>
    </row>
    <row r="56" spans="1:37">
      <c r="A56" s="68" t="s">
        <v>22</v>
      </c>
      <c r="B56" s="69"/>
      <c r="C56" s="76">
        <f t="shared" ref="C56:Z56" si="15">C50*C54</f>
        <v>7.7127749139216956E-3</v>
      </c>
      <c r="D56" s="76">
        <f t="shared" si="15"/>
        <v>-1.1806665041514815E-2</v>
      </c>
      <c r="E56" s="76">
        <f t="shared" si="15"/>
        <v>-7.0138580244556653E-3</v>
      </c>
      <c r="F56" s="76">
        <f t="shared" si="15"/>
        <v>2.563792534477952E-3</v>
      </c>
      <c r="G56" s="76">
        <f t="shared" si="15"/>
        <v>0</v>
      </c>
      <c r="H56" s="76">
        <f t="shared" si="15"/>
        <v>1.9668927394497066E-2</v>
      </c>
      <c r="I56" s="76">
        <f t="shared" si="15"/>
        <v>0</v>
      </c>
      <c r="J56" s="76">
        <f t="shared" si="15"/>
        <v>2.8789142282226426E-2</v>
      </c>
      <c r="K56" s="76">
        <f t="shared" si="15"/>
        <v>0</v>
      </c>
      <c r="L56" s="76">
        <f t="shared" si="15"/>
        <v>2.991731181625934E-3</v>
      </c>
      <c r="M56" s="76">
        <f t="shared" si="15"/>
        <v>0</v>
      </c>
      <c r="N56" s="76">
        <f t="shared" si="15"/>
        <v>4.0834414433162242E-3</v>
      </c>
      <c r="O56" s="76">
        <f t="shared" si="15"/>
        <v>2.0107821398877555E-3</v>
      </c>
      <c r="P56" s="76">
        <f t="shared" si="15"/>
        <v>1.7841962289752778E-3</v>
      </c>
      <c r="Q56" s="76">
        <f t="shared" si="15"/>
        <v>0</v>
      </c>
      <c r="R56" s="76">
        <f t="shared" si="15"/>
        <v>0</v>
      </c>
      <c r="S56" s="76">
        <f t="shared" si="15"/>
        <v>0</v>
      </c>
      <c r="T56" s="76">
        <f t="shared" si="15"/>
        <v>0</v>
      </c>
      <c r="U56" s="76">
        <f t="shared" si="15"/>
        <v>0</v>
      </c>
      <c r="V56" s="76">
        <f t="shared" si="15"/>
        <v>0</v>
      </c>
      <c r="W56" s="76">
        <f t="shared" si="15"/>
        <v>0</v>
      </c>
      <c r="X56" s="76">
        <f t="shared" si="15"/>
        <v>0</v>
      </c>
      <c r="Y56" s="76">
        <f t="shared" si="15"/>
        <v>0</v>
      </c>
      <c r="Z56" s="76">
        <f t="shared" si="15"/>
        <v>0</v>
      </c>
      <c r="AA56" s="76"/>
      <c r="AB56" s="68" t="s">
        <v>120</v>
      </c>
      <c r="AC56" s="71"/>
      <c r="AD56" s="80">
        <f>SUM(C56:Z56)</f>
        <v>5.0784265052957855E-2</v>
      </c>
    </row>
    <row r="57" spans="1:37">
      <c r="A57" s="62"/>
      <c r="B57" s="63">
        <v>97.390548999999993</v>
      </c>
      <c r="C57" s="66"/>
      <c r="D57" s="66"/>
      <c r="E57" s="66"/>
      <c r="F57" s="66"/>
      <c r="G57" s="63"/>
      <c r="H57" s="66"/>
      <c r="I57" s="63"/>
      <c r="J57" s="66"/>
      <c r="K57" s="63"/>
      <c r="L57" s="66"/>
      <c r="M57" s="63"/>
      <c r="N57" s="66"/>
      <c r="O57" s="66"/>
      <c r="P57" s="66"/>
      <c r="Q57" s="66"/>
      <c r="R57" s="63"/>
      <c r="S57" s="66"/>
      <c r="T57" s="63"/>
      <c r="U57" s="66"/>
      <c r="V57" s="26"/>
      <c r="W57" s="63"/>
      <c r="X57" s="66"/>
      <c r="Y57" s="63"/>
      <c r="Z57" s="66"/>
      <c r="AA57" s="32"/>
      <c r="AC57" s="67">
        <v>43280</v>
      </c>
    </row>
    <row r="58" spans="1:37">
      <c r="A58" s="62"/>
      <c r="B58" s="63">
        <v>101.501434</v>
      </c>
      <c r="C58" s="66"/>
      <c r="D58" s="66"/>
      <c r="E58" s="66"/>
      <c r="F58" s="66"/>
      <c r="G58" s="63"/>
      <c r="H58" s="66"/>
      <c r="I58" s="63"/>
      <c r="J58" s="66"/>
      <c r="K58" s="63"/>
      <c r="L58" s="66"/>
      <c r="M58" s="63"/>
      <c r="N58" s="66"/>
      <c r="O58" s="66"/>
      <c r="P58" s="66"/>
      <c r="Q58" s="66"/>
      <c r="R58" s="63"/>
      <c r="S58" s="66"/>
      <c r="T58" s="63"/>
      <c r="U58" s="66"/>
      <c r="V58" s="26"/>
      <c r="W58" s="63"/>
      <c r="X58" s="66"/>
      <c r="Y58" s="63"/>
      <c r="Z58" s="66"/>
      <c r="AA58" s="32"/>
      <c r="AC58" s="67">
        <v>43287</v>
      </c>
    </row>
    <row r="59" spans="1:37">
      <c r="A59" s="62"/>
      <c r="B59" s="63">
        <v>102.310112</v>
      </c>
      <c r="C59" s="66"/>
      <c r="D59" s="66"/>
      <c r="E59" s="66"/>
      <c r="F59" s="66"/>
      <c r="G59" s="63"/>
      <c r="H59" s="66"/>
      <c r="I59" s="63"/>
      <c r="J59" s="66"/>
      <c r="K59" s="63"/>
      <c r="L59" s="66"/>
      <c r="M59" s="63"/>
      <c r="N59" s="66"/>
      <c r="O59" s="66"/>
      <c r="P59" s="66"/>
      <c r="Q59" s="66"/>
      <c r="R59" s="63"/>
      <c r="S59" s="66"/>
      <c r="T59" s="63"/>
      <c r="U59" s="66"/>
      <c r="V59" s="26"/>
      <c r="W59" s="63"/>
      <c r="X59" s="66"/>
      <c r="Y59" s="63"/>
      <c r="Z59" s="66"/>
      <c r="AA59" s="32"/>
      <c r="AC59" s="67">
        <v>43294</v>
      </c>
    </row>
    <row r="60" spans="1:37">
      <c r="A60" s="62"/>
      <c r="B60" s="63">
        <v>103.66759500000001</v>
      </c>
      <c r="C60" s="66"/>
      <c r="D60" s="66"/>
      <c r="E60" s="66"/>
      <c r="F60" s="66"/>
      <c r="G60" s="63"/>
      <c r="H60" s="66"/>
      <c r="I60" s="63"/>
      <c r="J60" s="66"/>
      <c r="K60" s="63"/>
      <c r="L60" s="66"/>
      <c r="M60" s="63"/>
      <c r="N60" s="66"/>
      <c r="O60" s="66"/>
      <c r="P60" s="66"/>
      <c r="Q60" s="66"/>
      <c r="R60" s="63"/>
      <c r="S60" s="66"/>
      <c r="T60" s="63"/>
      <c r="U60" s="66"/>
      <c r="V60" s="26"/>
      <c r="W60" s="63"/>
      <c r="X60" s="66"/>
      <c r="Y60" s="63"/>
      <c r="Z60" s="66"/>
      <c r="AA60" s="32"/>
      <c r="AC60" s="67">
        <v>43301</v>
      </c>
    </row>
    <row r="61" spans="1:37">
      <c r="A61" s="62"/>
      <c r="B61" s="63">
        <v>104.01417499999999</v>
      </c>
      <c r="C61" s="66"/>
      <c r="D61" s="66"/>
      <c r="E61" s="66"/>
      <c r="F61" s="66"/>
      <c r="G61" s="63"/>
      <c r="H61" s="66"/>
      <c r="I61" s="63"/>
      <c r="J61" s="66"/>
      <c r="K61" s="63"/>
      <c r="L61" s="66"/>
      <c r="M61" s="63"/>
      <c r="N61" s="66"/>
      <c r="O61" s="66"/>
      <c r="P61" s="66"/>
      <c r="Q61" s="66"/>
      <c r="R61" s="63"/>
      <c r="S61" s="66"/>
      <c r="T61" s="63"/>
      <c r="U61" s="66"/>
      <c r="V61" s="26"/>
      <c r="W61" s="63"/>
      <c r="X61" s="66"/>
      <c r="Y61" s="63"/>
      <c r="Z61" s="66"/>
      <c r="AA61" s="32"/>
      <c r="AC61" s="67">
        <v>43308</v>
      </c>
    </row>
    <row r="62" spans="1:37">
      <c r="A62" s="62"/>
      <c r="B62" s="63">
        <v>104.938408</v>
      </c>
      <c r="C62" s="66"/>
      <c r="D62" s="66"/>
      <c r="E62" s="66"/>
      <c r="F62" s="66"/>
      <c r="G62" s="63"/>
      <c r="H62" s="66"/>
      <c r="I62" s="63"/>
      <c r="J62" s="66"/>
      <c r="K62" s="63"/>
      <c r="L62" s="66"/>
      <c r="M62" s="63"/>
      <c r="N62" s="66"/>
      <c r="O62" s="66"/>
      <c r="P62" s="66"/>
      <c r="Q62" s="66"/>
      <c r="R62" s="63"/>
      <c r="S62" s="66"/>
      <c r="T62" s="63"/>
      <c r="U62" s="66"/>
      <c r="V62" s="26"/>
      <c r="W62" s="63"/>
      <c r="X62" s="66"/>
      <c r="Y62" s="63"/>
      <c r="Z62" s="66"/>
      <c r="AA62" s="32"/>
      <c r="AC62" s="67">
        <v>43315</v>
      </c>
    </row>
    <row r="63" spans="1:37">
      <c r="A63" s="62"/>
      <c r="B63" s="63">
        <v>103.571327</v>
      </c>
      <c r="C63" s="66"/>
      <c r="D63" s="66"/>
      <c r="E63" s="66"/>
      <c r="F63" s="66"/>
      <c r="G63" s="63"/>
      <c r="H63" s="66"/>
      <c r="I63" s="63"/>
      <c r="J63" s="66"/>
      <c r="K63" s="63"/>
      <c r="L63" s="66"/>
      <c r="M63" s="63"/>
      <c r="N63" s="66"/>
      <c r="O63" s="66"/>
      <c r="P63" s="66"/>
      <c r="Q63" s="66"/>
      <c r="R63" s="63"/>
      <c r="S63" s="66"/>
      <c r="T63" s="63"/>
      <c r="U63" s="66"/>
      <c r="V63" s="26"/>
      <c r="W63" s="63"/>
      <c r="X63" s="66"/>
      <c r="Y63" s="63"/>
      <c r="Z63" s="66"/>
      <c r="AA63" s="32"/>
      <c r="AC63" s="67">
        <v>43322</v>
      </c>
    </row>
    <row r="64" spans="1:37">
      <c r="A64" s="62"/>
      <c r="B64" s="63">
        <v>104.762367</v>
      </c>
      <c r="C64" s="66"/>
      <c r="D64" s="66"/>
      <c r="E64" s="66"/>
      <c r="F64" s="66"/>
      <c r="G64" s="63"/>
      <c r="H64" s="66"/>
      <c r="I64" s="63"/>
      <c r="J64" s="66"/>
      <c r="K64" s="63"/>
      <c r="L64" s="66"/>
      <c r="M64" s="63"/>
      <c r="N64" s="66"/>
      <c r="O64" s="66"/>
      <c r="P64" s="66"/>
      <c r="Q64" s="66"/>
      <c r="R64" s="63"/>
      <c r="S64" s="66"/>
      <c r="T64" s="63"/>
      <c r="U64" s="66"/>
      <c r="V64" s="26"/>
      <c r="W64" s="63"/>
      <c r="X64" s="66"/>
      <c r="Y64" s="63"/>
      <c r="Z64" s="66"/>
      <c r="AA64" s="32"/>
      <c r="AC64" s="67">
        <v>43329</v>
      </c>
    </row>
    <row r="65" spans="1:29">
      <c r="A65" s="62"/>
      <c r="B65" s="63">
        <v>108.56049299999999</v>
      </c>
      <c r="C65" s="66"/>
      <c r="D65" s="66"/>
      <c r="E65" s="66"/>
      <c r="F65" s="66"/>
      <c r="G65" s="63"/>
      <c r="H65" s="66"/>
      <c r="I65" s="63"/>
      <c r="J65" s="66"/>
      <c r="K65" s="63"/>
      <c r="L65" s="66"/>
      <c r="M65" s="63"/>
      <c r="N65" s="66"/>
      <c r="O65" s="66"/>
      <c r="P65" s="66"/>
      <c r="Q65" s="66"/>
      <c r="R65" s="63"/>
      <c r="S65" s="66"/>
      <c r="T65" s="63"/>
      <c r="U65" s="66"/>
      <c r="V65" s="26"/>
      <c r="W65" s="63"/>
      <c r="X65" s="66"/>
      <c r="Y65" s="63"/>
      <c r="Z65" s="66"/>
      <c r="AA65" s="32"/>
      <c r="AC65" s="67">
        <v>43336</v>
      </c>
    </row>
    <row r="66" spans="1:29">
      <c r="A66" s="62"/>
      <c r="B66" s="63">
        <v>104.578743</v>
      </c>
      <c r="C66" s="66"/>
      <c r="D66" s="66"/>
      <c r="E66" s="66"/>
      <c r="F66" s="66"/>
      <c r="G66" s="63"/>
      <c r="H66" s="66"/>
      <c r="I66" s="63"/>
      <c r="J66" s="66"/>
      <c r="K66" s="63"/>
      <c r="L66" s="66"/>
      <c r="M66" s="63"/>
      <c r="N66" s="66"/>
      <c r="O66" s="66"/>
      <c r="P66" s="66"/>
      <c r="Q66" s="66"/>
      <c r="R66" s="63"/>
      <c r="S66" s="66"/>
      <c r="T66" s="63"/>
      <c r="U66" s="66"/>
      <c r="V66" s="26"/>
      <c r="W66" s="63"/>
      <c r="X66" s="66"/>
      <c r="Y66" s="63"/>
      <c r="Z66" s="66"/>
      <c r="AA66" s="32"/>
      <c r="AC66" s="67">
        <v>43343</v>
      </c>
    </row>
    <row r="67" spans="1:29">
      <c r="A67" s="62"/>
      <c r="B67" s="63">
        <v>109.56559</v>
      </c>
      <c r="C67" s="66"/>
      <c r="D67" s="66"/>
      <c r="E67" s="66"/>
      <c r="F67" s="66"/>
      <c r="G67" s="63"/>
      <c r="H67" s="66"/>
      <c r="I67" s="63"/>
      <c r="J67" s="66"/>
      <c r="K67" s="63"/>
      <c r="L67" s="66"/>
      <c r="M67" s="63"/>
      <c r="N67" s="66"/>
      <c r="O67" s="66"/>
      <c r="P67" s="66"/>
      <c r="Q67" s="66"/>
      <c r="R67" s="63"/>
      <c r="S67" s="66"/>
      <c r="T67" s="63"/>
      <c r="U67" s="66"/>
      <c r="V67" s="26"/>
      <c r="W67" s="63"/>
      <c r="X67" s="66"/>
      <c r="Y67" s="63"/>
      <c r="Z67" s="66"/>
      <c r="AA67" s="32"/>
      <c r="AC67" s="67">
        <v>43350</v>
      </c>
    </row>
    <row r="68" spans="1:29">
      <c r="A68" s="62"/>
      <c r="B68" s="63">
        <v>110.425743</v>
      </c>
      <c r="C68" s="66"/>
      <c r="D68" s="66"/>
      <c r="E68" s="66"/>
      <c r="F68" s="66"/>
      <c r="G68" s="63"/>
      <c r="H68" s="66"/>
      <c r="I68" s="63"/>
      <c r="J68" s="66"/>
      <c r="K68" s="63"/>
      <c r="L68" s="66"/>
      <c r="M68" s="63"/>
      <c r="N68" s="66"/>
      <c r="O68" s="66"/>
      <c r="P68" s="66"/>
      <c r="Q68" s="66"/>
      <c r="R68" s="63"/>
      <c r="S68" s="66"/>
      <c r="T68" s="63"/>
      <c r="U68" s="66"/>
      <c r="V68" s="26"/>
      <c r="W68" s="63"/>
      <c r="X68" s="66"/>
      <c r="Y68" s="63"/>
      <c r="Z68" s="66"/>
      <c r="AA68" s="32"/>
      <c r="AC68" s="67">
        <v>43357</v>
      </c>
    </row>
    <row r="69" spans="1:29">
      <c r="A69" s="62"/>
      <c r="B69" s="63">
        <v>110.532043</v>
      </c>
      <c r="C69" s="66"/>
      <c r="D69" s="66"/>
      <c r="E69" s="66"/>
      <c r="F69" s="66"/>
      <c r="G69" s="63"/>
      <c r="H69" s="66"/>
      <c r="I69" s="63"/>
      <c r="J69" s="66"/>
      <c r="K69" s="63"/>
      <c r="L69" s="66"/>
      <c r="M69" s="63"/>
      <c r="N69" s="66"/>
      <c r="O69" s="66"/>
      <c r="P69" s="66"/>
      <c r="Q69" s="66"/>
      <c r="R69" s="63"/>
      <c r="S69" s="66"/>
      <c r="T69" s="63"/>
      <c r="U69" s="66"/>
      <c r="V69" s="26"/>
      <c r="W69" s="63"/>
      <c r="X69" s="66"/>
      <c r="Y69" s="63"/>
      <c r="Z69" s="66"/>
      <c r="AA69" s="32"/>
      <c r="AC69" s="67">
        <v>43364</v>
      </c>
    </row>
    <row r="70" spans="1:29">
      <c r="A70" s="62"/>
      <c r="B70" s="63">
        <v>108.36721</v>
      </c>
      <c r="C70" s="66"/>
      <c r="D70" s="66"/>
      <c r="E70" s="66"/>
      <c r="F70" s="66"/>
      <c r="G70" s="63"/>
      <c r="H70" s="66"/>
      <c r="I70" s="63"/>
      <c r="J70" s="66"/>
      <c r="K70" s="63"/>
      <c r="L70" s="66"/>
      <c r="M70" s="63"/>
      <c r="N70" s="66"/>
      <c r="O70" s="66"/>
      <c r="P70" s="66"/>
      <c r="Q70" s="66"/>
      <c r="R70" s="63"/>
      <c r="S70" s="66"/>
      <c r="T70" s="63"/>
      <c r="U70" s="66"/>
      <c r="V70" s="26"/>
      <c r="W70" s="63"/>
      <c r="X70" s="66"/>
      <c r="Y70" s="63"/>
      <c r="Z70" s="66"/>
      <c r="AA70" s="32"/>
      <c r="AC70" s="67">
        <v>43371</v>
      </c>
    </row>
    <row r="71" spans="1:29">
      <c r="A71" s="62"/>
      <c r="B71" s="63">
        <v>105.89310500000001</v>
      </c>
      <c r="C71" s="66"/>
      <c r="D71" s="66"/>
      <c r="E71" s="66"/>
      <c r="F71" s="66"/>
      <c r="G71" s="63"/>
      <c r="H71" s="66"/>
      <c r="I71" s="63"/>
      <c r="J71" s="66"/>
      <c r="K71" s="63"/>
      <c r="L71" s="66"/>
      <c r="M71" s="63"/>
      <c r="N71" s="66"/>
      <c r="O71" s="66"/>
      <c r="P71" s="66"/>
      <c r="Q71" s="66"/>
      <c r="R71" s="63"/>
      <c r="S71" s="66"/>
      <c r="T71" s="63"/>
      <c r="U71" s="66"/>
      <c r="V71" s="26"/>
      <c r="W71" s="63"/>
      <c r="X71" s="66"/>
      <c r="Y71" s="63"/>
      <c r="Z71" s="66"/>
      <c r="AA71" s="32"/>
      <c r="AC71" s="67">
        <v>43378</v>
      </c>
    </row>
    <row r="72" spans="1:29">
      <c r="A72" s="62"/>
      <c r="B72" s="63">
        <v>105.01364100000001</v>
      </c>
      <c r="C72" s="66"/>
      <c r="D72" s="66"/>
      <c r="E72" s="66"/>
      <c r="F72" s="66"/>
      <c r="G72" s="63"/>
      <c r="H72" s="66"/>
      <c r="I72" s="63"/>
      <c r="J72" s="66"/>
      <c r="K72" s="63"/>
      <c r="L72" s="66"/>
      <c r="M72" s="63"/>
      <c r="N72" s="66"/>
      <c r="O72" s="66"/>
      <c r="P72" s="66"/>
      <c r="Q72" s="66"/>
      <c r="R72" s="63"/>
      <c r="S72" s="66"/>
      <c r="T72" s="63"/>
      <c r="U72" s="66"/>
      <c r="V72" s="26"/>
      <c r="W72" s="63"/>
      <c r="X72" s="66"/>
      <c r="Y72" s="63"/>
      <c r="Z72" s="66"/>
      <c r="AA72" s="32"/>
      <c r="AC72" s="67">
        <v>43385</v>
      </c>
    </row>
    <row r="73" spans="1:29">
      <c r="A73" s="62"/>
      <c r="B73" s="63">
        <v>103.370705</v>
      </c>
      <c r="C73" s="66"/>
      <c r="D73" s="66"/>
      <c r="E73" s="66"/>
      <c r="F73" s="66"/>
      <c r="G73" s="63"/>
      <c r="H73" s="66"/>
      <c r="I73" s="63"/>
      <c r="J73" s="66"/>
      <c r="K73" s="63"/>
      <c r="L73" s="66"/>
      <c r="M73" s="63"/>
      <c r="N73" s="66"/>
      <c r="O73" s="66"/>
      <c r="P73" s="66"/>
      <c r="Q73" s="66"/>
      <c r="R73" s="63"/>
      <c r="S73" s="66"/>
      <c r="T73" s="63"/>
      <c r="U73" s="66"/>
      <c r="V73" s="26"/>
      <c r="W73" s="63"/>
      <c r="X73" s="66"/>
      <c r="Y73" s="63"/>
      <c r="Z73" s="66"/>
      <c r="AA73" s="32"/>
      <c r="AC73" s="67">
        <v>43392</v>
      </c>
    </row>
    <row r="74" spans="1:29">
      <c r="A74" s="62"/>
      <c r="B74" s="63">
        <v>102.597549</v>
      </c>
      <c r="C74" s="66"/>
      <c r="D74" s="66"/>
      <c r="E74" s="66"/>
      <c r="F74" s="66"/>
      <c r="G74" s="63"/>
      <c r="H74" s="66"/>
      <c r="I74" s="63"/>
      <c r="J74" s="66"/>
      <c r="K74" s="63"/>
      <c r="L74" s="66"/>
      <c r="M74" s="63"/>
      <c r="N74" s="66"/>
      <c r="O74" s="66"/>
      <c r="P74" s="66"/>
      <c r="Q74" s="66"/>
      <c r="R74" s="63"/>
      <c r="S74" s="66"/>
      <c r="T74" s="63"/>
      <c r="U74" s="66"/>
      <c r="V74" s="26"/>
      <c r="W74" s="63"/>
      <c r="X74" s="66"/>
      <c r="Y74" s="63"/>
      <c r="Z74" s="66"/>
      <c r="AA74" s="32"/>
      <c r="AC74" s="67">
        <v>43399</v>
      </c>
    </row>
    <row r="75" spans="1:29">
      <c r="A75" s="62"/>
      <c r="B75" s="63">
        <v>105.89310500000001</v>
      </c>
      <c r="C75" s="66"/>
      <c r="D75" s="66"/>
      <c r="E75" s="66"/>
      <c r="F75" s="66"/>
      <c r="G75" s="63"/>
      <c r="H75" s="66"/>
      <c r="I75" s="63"/>
      <c r="J75" s="66"/>
      <c r="K75" s="63"/>
      <c r="L75" s="66"/>
      <c r="M75" s="63"/>
      <c r="N75" s="66"/>
      <c r="O75" s="66"/>
      <c r="P75" s="66"/>
      <c r="Q75" s="66"/>
      <c r="R75" s="63"/>
      <c r="S75" s="66"/>
      <c r="T75" s="63"/>
      <c r="U75" s="66"/>
      <c r="V75" s="26"/>
      <c r="W75" s="63"/>
      <c r="X75" s="66"/>
      <c r="Y75" s="63"/>
      <c r="Z75" s="66"/>
      <c r="AA75" s="32"/>
      <c r="AC75" s="67">
        <v>43406</v>
      </c>
    </row>
    <row r="76" spans="1:29">
      <c r="A76" s="62"/>
      <c r="B76" s="63">
        <v>104.65606699999999</v>
      </c>
      <c r="C76" s="66"/>
      <c r="D76" s="66"/>
      <c r="E76" s="66"/>
      <c r="F76" s="66"/>
      <c r="G76" s="63"/>
      <c r="H76" s="66"/>
      <c r="I76" s="63"/>
      <c r="J76" s="66"/>
      <c r="K76" s="63"/>
      <c r="L76" s="66"/>
      <c r="M76" s="63"/>
      <c r="N76" s="66"/>
      <c r="O76" s="66"/>
      <c r="P76" s="66"/>
      <c r="Q76" s="66"/>
      <c r="R76" s="63"/>
      <c r="S76" s="66"/>
      <c r="T76" s="63"/>
      <c r="U76" s="66"/>
      <c r="V76" s="26"/>
      <c r="W76" s="63"/>
      <c r="X76" s="66"/>
      <c r="Y76" s="63"/>
      <c r="Z76" s="66"/>
      <c r="AA76" s="32"/>
      <c r="AC76" s="67">
        <v>43413</v>
      </c>
    </row>
    <row r="77" spans="1:29">
      <c r="A77" s="62"/>
      <c r="B77" s="63">
        <v>100.041573</v>
      </c>
      <c r="C77" s="66"/>
      <c r="D77" s="66"/>
      <c r="E77" s="66"/>
      <c r="F77" s="66"/>
      <c r="G77" s="63"/>
      <c r="H77" s="66"/>
      <c r="I77" s="63"/>
      <c r="J77" s="66"/>
      <c r="K77" s="63"/>
      <c r="L77" s="66"/>
      <c r="M77" s="63"/>
      <c r="N77" s="66"/>
      <c r="O77" s="66"/>
      <c r="P77" s="66"/>
      <c r="Q77" s="66"/>
      <c r="R77" s="63"/>
      <c r="S77" s="66"/>
      <c r="T77" s="63"/>
      <c r="U77" s="66"/>
      <c r="V77" s="26"/>
      <c r="W77" s="63"/>
      <c r="X77" s="66"/>
      <c r="Y77" s="63"/>
      <c r="Z77" s="66"/>
      <c r="AA77" s="32"/>
      <c r="AC77" s="67">
        <v>43420</v>
      </c>
    </row>
    <row r="78" spans="1:29">
      <c r="A78" s="62"/>
      <c r="B78" s="63">
        <v>107.631798</v>
      </c>
      <c r="C78" s="66"/>
      <c r="D78" s="66"/>
      <c r="E78" s="66"/>
      <c r="F78" s="66"/>
      <c r="G78" s="63"/>
      <c r="H78" s="66"/>
      <c r="I78" s="63"/>
      <c r="J78" s="66"/>
      <c r="K78" s="63"/>
      <c r="L78" s="66"/>
      <c r="M78" s="63"/>
      <c r="N78" s="66"/>
      <c r="O78" s="66"/>
      <c r="P78" s="66"/>
      <c r="Q78" s="66"/>
      <c r="R78" s="63"/>
      <c r="S78" s="66"/>
      <c r="T78" s="63"/>
      <c r="U78" s="66"/>
      <c r="V78" s="26"/>
      <c r="W78" s="63"/>
      <c r="X78" s="66"/>
      <c r="Y78" s="63"/>
      <c r="Z78" s="66"/>
      <c r="AA78" s="32"/>
      <c r="AC78" s="67">
        <v>43427</v>
      </c>
    </row>
    <row r="79" spans="1:29">
      <c r="A79" s="62"/>
      <c r="B79" s="63">
        <v>101.740143</v>
      </c>
      <c r="C79" s="66"/>
      <c r="D79" s="66"/>
      <c r="E79" s="66"/>
      <c r="F79" s="66"/>
      <c r="G79" s="63"/>
      <c r="H79" s="66"/>
      <c r="I79" s="63"/>
      <c r="J79" s="66"/>
      <c r="K79" s="63"/>
      <c r="L79" s="66"/>
      <c r="M79" s="63"/>
      <c r="N79" s="66"/>
      <c r="O79" s="66"/>
      <c r="P79" s="66"/>
      <c r="Q79" s="66"/>
      <c r="R79" s="63"/>
      <c r="S79" s="66"/>
      <c r="T79" s="63"/>
      <c r="U79" s="66"/>
      <c r="V79" s="26"/>
      <c r="W79" s="63"/>
      <c r="X79" s="66"/>
      <c r="Y79" s="63"/>
      <c r="Z79" s="66"/>
      <c r="AA79" s="32"/>
      <c r="AC79" s="67">
        <v>43434</v>
      </c>
    </row>
    <row r="80" spans="1:29">
      <c r="A80" s="62"/>
      <c r="B80" s="63">
        <v>102.914597</v>
      </c>
      <c r="C80" s="66"/>
      <c r="D80" s="66"/>
      <c r="E80" s="66"/>
      <c r="F80" s="66"/>
      <c r="G80" s="63"/>
      <c r="H80" s="66"/>
      <c r="I80" s="63"/>
      <c r="J80" s="66"/>
      <c r="K80" s="63"/>
      <c r="L80" s="66"/>
      <c r="M80" s="63"/>
      <c r="N80" s="66"/>
      <c r="O80" s="66"/>
      <c r="P80" s="66"/>
      <c r="Q80" s="66"/>
      <c r="R80" s="63"/>
      <c r="S80" s="66"/>
      <c r="T80" s="63"/>
      <c r="U80" s="66"/>
      <c r="V80" s="26"/>
      <c r="W80" s="63"/>
      <c r="X80" s="66"/>
      <c r="Y80" s="63"/>
      <c r="Z80" s="66"/>
      <c r="AA80" s="32"/>
      <c r="AC80" s="67">
        <v>43441</v>
      </c>
    </row>
    <row r="81" spans="1:29">
      <c r="A81" s="62"/>
      <c r="B81" s="63">
        <v>95.343765000000005</v>
      </c>
      <c r="C81" s="66"/>
      <c r="D81" s="66"/>
      <c r="E81" s="66"/>
      <c r="F81" s="66"/>
      <c r="G81" s="63"/>
      <c r="H81" s="66"/>
      <c r="I81" s="63"/>
      <c r="J81" s="66"/>
      <c r="K81" s="63"/>
      <c r="L81" s="66"/>
      <c r="M81" s="63"/>
      <c r="N81" s="66"/>
      <c r="O81" s="66"/>
      <c r="P81" s="66"/>
      <c r="Q81" s="66"/>
      <c r="R81" s="63"/>
      <c r="S81" s="66"/>
      <c r="T81" s="63"/>
      <c r="U81" s="66"/>
      <c r="V81" s="26"/>
      <c r="W81" s="63"/>
      <c r="X81" s="66"/>
      <c r="Y81" s="63"/>
      <c r="Z81" s="66"/>
      <c r="AA81" s="32"/>
      <c r="AC81" s="67">
        <v>43448</v>
      </c>
    </row>
    <row r="82" spans="1:29">
      <c r="A82" s="62"/>
      <c r="B82" s="63">
        <v>97.440314999999998</v>
      </c>
      <c r="C82" s="66"/>
      <c r="D82" s="66"/>
      <c r="E82" s="66"/>
      <c r="F82" s="66"/>
      <c r="G82" s="63"/>
      <c r="H82" s="66"/>
      <c r="I82" s="63"/>
      <c r="J82" s="66"/>
      <c r="K82" s="63"/>
      <c r="L82" s="66"/>
      <c r="M82" s="63"/>
      <c r="N82" s="66"/>
      <c r="O82" s="66"/>
      <c r="P82" s="66"/>
      <c r="Q82" s="66"/>
      <c r="R82" s="63"/>
      <c r="S82" s="66"/>
      <c r="T82" s="63"/>
      <c r="U82" s="66"/>
      <c r="V82" s="26"/>
      <c r="W82" s="63"/>
      <c r="X82" s="66"/>
      <c r="Y82" s="63"/>
      <c r="Z82" s="66"/>
      <c r="AA82" s="32"/>
      <c r="AC82" s="67">
        <v>43455</v>
      </c>
    </row>
    <row r="83" spans="1:29">
      <c r="A83" s="62"/>
      <c r="B83" s="63">
        <v>98.935058999999995</v>
      </c>
      <c r="C83" s="66"/>
      <c r="D83" s="66"/>
      <c r="E83" s="66"/>
      <c r="F83" s="66"/>
      <c r="G83" s="63"/>
      <c r="H83" s="66"/>
      <c r="I83" s="63"/>
      <c r="J83" s="66"/>
      <c r="K83" s="63"/>
      <c r="L83" s="66"/>
      <c r="M83" s="63"/>
      <c r="N83" s="66"/>
      <c r="O83" s="66"/>
      <c r="P83" s="66"/>
      <c r="Q83" s="66"/>
      <c r="R83" s="63"/>
      <c r="S83" s="66"/>
      <c r="T83" s="63"/>
      <c r="U83" s="66"/>
      <c r="V83" s="26"/>
      <c r="W83" s="63"/>
      <c r="X83" s="66"/>
      <c r="Y83" s="63"/>
      <c r="Z83" s="66"/>
      <c r="AA83" s="32"/>
      <c r="AC83" s="67">
        <v>43462</v>
      </c>
    </row>
    <row r="84" spans="1:29">
      <c r="A84" s="62"/>
      <c r="B84" s="63">
        <v>99.779510000000002</v>
      </c>
      <c r="C84" s="66"/>
      <c r="D84" s="66"/>
      <c r="E84" s="66"/>
      <c r="F84" s="66"/>
      <c r="G84" s="63"/>
      <c r="H84" s="66"/>
      <c r="I84" s="63"/>
      <c r="J84" s="66"/>
      <c r="K84" s="63"/>
      <c r="L84" s="66"/>
      <c r="M84" s="63"/>
      <c r="N84" s="66"/>
      <c r="O84" s="66"/>
      <c r="P84" s="66"/>
      <c r="Q84" s="66"/>
      <c r="R84" s="63"/>
      <c r="S84" s="66"/>
      <c r="T84" s="63"/>
      <c r="U84" s="66"/>
      <c r="V84" s="26"/>
      <c r="W84" s="63"/>
      <c r="X84" s="66"/>
      <c r="Y84" s="63"/>
      <c r="Z84" s="66"/>
      <c r="AA84" s="32"/>
      <c r="AC84" s="67">
        <v>43469</v>
      </c>
    </row>
    <row r="85" spans="1:29">
      <c r="A85" s="62"/>
      <c r="B85" s="63">
        <v>104.545227</v>
      </c>
      <c r="C85" s="66"/>
      <c r="D85" s="66"/>
      <c r="E85" s="66"/>
      <c r="F85" s="66"/>
      <c r="G85" s="63"/>
      <c r="H85" s="66"/>
      <c r="I85" s="63"/>
      <c r="J85" s="66"/>
      <c r="K85" s="63"/>
      <c r="L85" s="66"/>
      <c r="M85" s="63"/>
      <c r="N85" s="66"/>
      <c r="O85" s="66"/>
      <c r="P85" s="66"/>
      <c r="Q85" s="66"/>
      <c r="R85" s="63"/>
      <c r="S85" s="66"/>
      <c r="T85" s="63"/>
      <c r="U85" s="66"/>
      <c r="V85" s="26"/>
      <c r="W85" s="63"/>
      <c r="X85" s="66"/>
      <c r="Y85" s="63"/>
      <c r="Z85" s="66"/>
      <c r="AA85" s="32"/>
      <c r="AC85" s="67">
        <v>43476</v>
      </c>
    </row>
    <row r="86" spans="1:29">
      <c r="A86" s="62"/>
      <c r="B86" s="63">
        <v>104.021095</v>
      </c>
      <c r="C86" s="66"/>
      <c r="D86" s="66"/>
      <c r="E86" s="66"/>
      <c r="F86" s="66"/>
      <c r="G86" s="63"/>
      <c r="H86" s="66"/>
      <c r="I86" s="63"/>
      <c r="J86" s="66"/>
      <c r="K86" s="63"/>
      <c r="L86" s="66"/>
      <c r="M86" s="63"/>
      <c r="N86" s="66"/>
      <c r="O86" s="66"/>
      <c r="P86" s="66"/>
      <c r="Q86" s="66"/>
      <c r="R86" s="63"/>
      <c r="S86" s="66"/>
      <c r="T86" s="63"/>
      <c r="U86" s="66"/>
      <c r="V86" s="26"/>
      <c r="W86" s="63"/>
      <c r="X86" s="66"/>
      <c r="Y86" s="63"/>
      <c r="Z86" s="66"/>
      <c r="AA86" s="32"/>
      <c r="AC86" s="67">
        <v>43483</v>
      </c>
    </row>
    <row r="87" spans="1:29">
      <c r="A87" s="62"/>
      <c r="B87" s="63">
        <v>99.760093999999995</v>
      </c>
      <c r="C87" s="66"/>
      <c r="D87" s="66"/>
      <c r="E87" s="66"/>
      <c r="F87" s="66"/>
      <c r="G87" s="63"/>
      <c r="H87" s="66"/>
      <c r="I87" s="63"/>
      <c r="J87" s="66"/>
      <c r="K87" s="63"/>
      <c r="L87" s="66"/>
      <c r="M87" s="63"/>
      <c r="N87" s="66"/>
      <c r="O87" s="66"/>
      <c r="P87" s="66"/>
      <c r="Q87" s="66"/>
      <c r="R87" s="63"/>
      <c r="S87" s="66"/>
      <c r="T87" s="63"/>
      <c r="U87" s="66"/>
      <c r="V87" s="26"/>
      <c r="W87" s="63"/>
      <c r="X87" s="66"/>
      <c r="Y87" s="63"/>
      <c r="Z87" s="66"/>
      <c r="AA87" s="32"/>
      <c r="AC87" s="67">
        <v>43490</v>
      </c>
    </row>
    <row r="88" spans="1:29">
      <c r="A88" s="62"/>
      <c r="B88" s="63">
        <v>102.56516999999999</v>
      </c>
      <c r="C88" s="66"/>
      <c r="D88" s="66"/>
      <c r="E88" s="66"/>
      <c r="F88" s="66"/>
      <c r="G88" s="63"/>
      <c r="H88" s="66"/>
      <c r="I88" s="63"/>
      <c r="J88" s="66"/>
      <c r="K88" s="63"/>
      <c r="L88" s="66"/>
      <c r="M88" s="63"/>
      <c r="N88" s="66"/>
      <c r="O88" s="66"/>
      <c r="P88" s="66"/>
      <c r="Q88" s="66"/>
      <c r="R88" s="63"/>
      <c r="S88" s="66"/>
      <c r="T88" s="63"/>
      <c r="U88" s="66"/>
      <c r="V88" s="26"/>
      <c r="W88" s="63"/>
      <c r="X88" s="66"/>
      <c r="Y88" s="63"/>
      <c r="Z88" s="66"/>
      <c r="AA88" s="32"/>
      <c r="AC88" s="67">
        <v>43497</v>
      </c>
    </row>
    <row r="89" spans="1:29">
      <c r="A89" s="62"/>
      <c r="B89" s="63">
        <v>105.04025300000001</v>
      </c>
      <c r="C89" s="66"/>
      <c r="D89" s="66"/>
      <c r="E89" s="66"/>
      <c r="F89" s="66"/>
      <c r="G89" s="63"/>
      <c r="H89" s="66"/>
      <c r="I89" s="63"/>
      <c r="J89" s="66"/>
      <c r="K89" s="63"/>
      <c r="L89" s="66"/>
      <c r="M89" s="63"/>
      <c r="N89" s="66"/>
      <c r="O89" s="66"/>
      <c r="P89" s="66"/>
      <c r="Q89" s="66"/>
      <c r="R89" s="63"/>
      <c r="S89" s="66"/>
      <c r="T89" s="63"/>
      <c r="U89" s="66"/>
      <c r="V89" s="26"/>
      <c r="W89" s="63"/>
      <c r="X89" s="66"/>
      <c r="Y89" s="63"/>
      <c r="Z89" s="66"/>
      <c r="AA89" s="32"/>
      <c r="AC89" s="67">
        <v>43504</v>
      </c>
    </row>
    <row r="90" spans="1:29">
      <c r="A90" s="62"/>
      <c r="B90" s="63">
        <v>107.709442</v>
      </c>
      <c r="C90" s="66"/>
      <c r="D90" s="66"/>
      <c r="E90" s="66"/>
      <c r="F90" s="66"/>
      <c r="G90" s="63"/>
      <c r="H90" s="66"/>
      <c r="I90" s="63"/>
      <c r="J90" s="66"/>
      <c r="K90" s="63"/>
      <c r="L90" s="66"/>
      <c r="M90" s="63"/>
      <c r="N90" s="66"/>
      <c r="O90" s="66"/>
      <c r="P90" s="66"/>
      <c r="Q90" s="66"/>
      <c r="R90" s="63"/>
      <c r="S90" s="66"/>
      <c r="T90" s="63"/>
      <c r="U90" s="66"/>
      <c r="V90" s="26"/>
      <c r="W90" s="63"/>
      <c r="X90" s="66"/>
      <c r="Y90" s="63"/>
      <c r="Z90" s="66"/>
      <c r="AA90" s="32"/>
      <c r="AC90" s="67">
        <v>43511</v>
      </c>
    </row>
    <row r="91" spans="1:29">
      <c r="A91" s="62"/>
      <c r="B91" s="63">
        <v>109.690079</v>
      </c>
      <c r="C91" s="66"/>
      <c r="D91" s="66"/>
      <c r="E91" s="66"/>
      <c r="F91" s="66"/>
      <c r="G91" s="63"/>
      <c r="H91" s="66"/>
      <c r="I91" s="63"/>
      <c r="J91" s="66"/>
      <c r="K91" s="63"/>
      <c r="L91" s="66"/>
      <c r="M91" s="63"/>
      <c r="N91" s="66"/>
      <c r="O91" s="66"/>
      <c r="P91" s="66"/>
      <c r="Q91" s="66"/>
      <c r="R91" s="63"/>
      <c r="S91" s="66"/>
      <c r="T91" s="63"/>
      <c r="U91" s="66"/>
      <c r="V91" s="26"/>
      <c r="W91" s="63"/>
      <c r="X91" s="66"/>
      <c r="Y91" s="63"/>
      <c r="Z91" s="66"/>
      <c r="AA91" s="32"/>
      <c r="AC91" s="67">
        <v>43518</v>
      </c>
    </row>
    <row r="92" spans="1:29">
      <c r="A92" s="62"/>
      <c r="B92" s="63">
        <v>107.721046</v>
      </c>
      <c r="C92" s="66"/>
      <c r="D92" s="66"/>
      <c r="E92" s="66"/>
      <c r="F92" s="66"/>
      <c r="G92" s="63"/>
      <c r="H92" s="66"/>
      <c r="I92" s="63"/>
      <c r="J92" s="66"/>
      <c r="K92" s="63"/>
      <c r="L92" s="66"/>
      <c r="M92" s="63"/>
      <c r="N92" s="66"/>
      <c r="O92" s="66"/>
      <c r="P92" s="66"/>
      <c r="Q92" s="66"/>
      <c r="R92" s="63"/>
      <c r="S92" s="66"/>
      <c r="T92" s="63"/>
      <c r="U92" s="66"/>
      <c r="V92" s="26"/>
      <c r="W92" s="63"/>
      <c r="X92" s="66"/>
      <c r="Y92" s="63"/>
      <c r="Z92" s="66"/>
      <c r="AA92" s="32"/>
      <c r="AC92" s="67">
        <v>43525</v>
      </c>
    </row>
    <row r="93" spans="1:29">
      <c r="A93" s="62"/>
      <c r="B93" s="63">
        <v>112.984764</v>
      </c>
      <c r="C93" s="66"/>
      <c r="D93" s="66"/>
      <c r="E93" s="66"/>
      <c r="F93" s="66"/>
      <c r="G93" s="63"/>
      <c r="H93" s="66"/>
      <c r="I93" s="63"/>
      <c r="J93" s="66"/>
      <c r="K93" s="63"/>
      <c r="L93" s="66"/>
      <c r="M93" s="63"/>
      <c r="N93" s="66"/>
      <c r="O93" s="66"/>
      <c r="P93" s="66"/>
      <c r="Q93" s="66"/>
      <c r="R93" s="63"/>
      <c r="S93" s="66"/>
      <c r="T93" s="63"/>
      <c r="U93" s="66"/>
      <c r="V93" s="26"/>
      <c r="W93" s="63"/>
      <c r="X93" s="66"/>
      <c r="Y93" s="63"/>
      <c r="Z93" s="66"/>
      <c r="AA93" s="32"/>
      <c r="AC93" s="67">
        <v>43532</v>
      </c>
    </row>
    <row r="94" spans="1:29">
      <c r="A94" s="62"/>
      <c r="B94" s="63">
        <v>114.09599300000001</v>
      </c>
      <c r="C94" s="66"/>
      <c r="D94" s="66"/>
      <c r="E94" s="66"/>
      <c r="F94" s="66"/>
      <c r="G94" s="63"/>
      <c r="H94" s="66"/>
      <c r="I94" s="63"/>
      <c r="J94" s="66"/>
      <c r="K94" s="63"/>
      <c r="L94" s="66"/>
      <c r="M94" s="63"/>
      <c r="N94" s="66"/>
      <c r="O94" s="66"/>
      <c r="P94" s="66"/>
      <c r="Q94" s="66"/>
      <c r="R94" s="63"/>
      <c r="S94" s="66"/>
      <c r="T94" s="63"/>
      <c r="U94" s="66"/>
      <c r="V94" s="26"/>
      <c r="W94" s="63"/>
      <c r="X94" s="66"/>
      <c r="Y94" s="63"/>
      <c r="Z94" s="66"/>
      <c r="AA94" s="32"/>
      <c r="AC94" s="67">
        <v>43539</v>
      </c>
    </row>
    <row r="95" spans="1:29">
      <c r="A95" s="62"/>
      <c r="B95" s="63">
        <v>114.96354700000001</v>
      </c>
      <c r="C95" s="66"/>
      <c r="D95" s="66"/>
      <c r="E95" s="66"/>
      <c r="F95" s="66"/>
      <c r="G95" s="63"/>
      <c r="H95" s="66"/>
      <c r="I95" s="63"/>
      <c r="J95" s="66"/>
      <c r="K95" s="63"/>
      <c r="L95" s="66"/>
      <c r="M95" s="63"/>
      <c r="N95" s="66"/>
      <c r="O95" s="66"/>
      <c r="P95" s="66"/>
      <c r="Q95" s="66"/>
      <c r="R95" s="63"/>
      <c r="S95" s="66"/>
      <c r="T95" s="63"/>
      <c r="U95" s="66"/>
      <c r="V95" s="26"/>
      <c r="W95" s="63"/>
      <c r="X95" s="66"/>
      <c r="Y95" s="63"/>
      <c r="Z95" s="66"/>
      <c r="AA95" s="32"/>
      <c r="AC95" s="67">
        <v>43546</v>
      </c>
    </row>
    <row r="96" spans="1:29">
      <c r="A96" s="62"/>
      <c r="B96" s="63">
        <v>116.86432600000001</v>
      </c>
      <c r="C96" s="66"/>
      <c r="D96" s="66"/>
      <c r="E96" s="66"/>
      <c r="F96" s="66"/>
      <c r="G96" s="63"/>
      <c r="H96" s="66"/>
      <c r="I96" s="63"/>
      <c r="J96" s="66"/>
      <c r="K96" s="63"/>
      <c r="L96" s="66"/>
      <c r="M96" s="63"/>
      <c r="N96" s="66"/>
      <c r="O96" s="66"/>
      <c r="P96" s="66"/>
      <c r="Q96" s="66"/>
      <c r="R96" s="63"/>
      <c r="S96" s="66"/>
      <c r="T96" s="63"/>
      <c r="U96" s="66"/>
      <c r="V96" s="26"/>
      <c r="W96" s="63"/>
      <c r="X96" s="66"/>
      <c r="Y96" s="63"/>
      <c r="Z96" s="66"/>
      <c r="AA96" s="32"/>
      <c r="AC96" s="67">
        <v>43553</v>
      </c>
    </row>
    <row r="97" spans="1:29">
      <c r="A97" s="62"/>
      <c r="B97" s="63">
        <v>117.89756</v>
      </c>
      <c r="C97" s="66"/>
      <c r="D97" s="66"/>
      <c r="E97" s="66"/>
      <c r="F97" s="66"/>
      <c r="G97" s="63"/>
      <c r="H97" s="66"/>
      <c r="I97" s="63"/>
      <c r="J97" s="66"/>
      <c r="K97" s="63"/>
      <c r="L97" s="66"/>
      <c r="M97" s="63"/>
      <c r="N97" s="66"/>
      <c r="O97" s="66"/>
      <c r="P97" s="66"/>
      <c r="Q97" s="66"/>
      <c r="R97" s="63"/>
      <c r="S97" s="66"/>
      <c r="T97" s="63"/>
      <c r="U97" s="66"/>
      <c r="V97" s="26"/>
      <c r="W97" s="63"/>
      <c r="X97" s="66"/>
      <c r="Y97" s="63"/>
      <c r="Z97" s="66"/>
      <c r="AA97" s="32"/>
      <c r="AC97" s="67">
        <v>43560</v>
      </c>
    </row>
    <row r="98" spans="1:29">
      <c r="A98" s="62"/>
      <c r="B98" s="63">
        <v>120.256508</v>
      </c>
      <c r="C98" s="66"/>
      <c r="D98" s="66"/>
      <c r="E98" s="66"/>
      <c r="F98" s="66"/>
      <c r="G98" s="63"/>
      <c r="H98" s="66"/>
      <c r="I98" s="63"/>
      <c r="J98" s="66"/>
      <c r="K98" s="63"/>
      <c r="L98" s="66"/>
      <c r="M98" s="63"/>
      <c r="N98" s="66"/>
      <c r="O98" s="66"/>
      <c r="P98" s="66"/>
      <c r="Q98" s="66"/>
      <c r="R98" s="63"/>
      <c r="S98" s="66"/>
      <c r="T98" s="63"/>
      <c r="U98" s="66"/>
      <c r="V98" s="26"/>
      <c r="W98" s="63"/>
      <c r="X98" s="66"/>
      <c r="Y98" s="63"/>
      <c r="Z98" s="66"/>
      <c r="AA98" s="32"/>
      <c r="AC98" s="67">
        <v>43567</v>
      </c>
    </row>
    <row r="99" spans="1:29">
      <c r="A99" s="62"/>
      <c r="B99" s="63">
        <v>126.61193799999999</v>
      </c>
      <c r="C99" s="66"/>
      <c r="D99" s="66"/>
      <c r="E99" s="66"/>
      <c r="F99" s="66"/>
      <c r="G99" s="63"/>
      <c r="H99" s="66"/>
      <c r="I99" s="63"/>
      <c r="J99" s="66"/>
      <c r="K99" s="63"/>
      <c r="L99" s="66"/>
      <c r="M99" s="63"/>
      <c r="N99" s="66"/>
      <c r="O99" s="66"/>
      <c r="P99" s="66"/>
      <c r="Q99" s="66"/>
      <c r="R99" s="63"/>
      <c r="S99" s="66"/>
      <c r="T99" s="63"/>
      <c r="U99" s="66"/>
      <c r="V99" s="26"/>
      <c r="W99" s="63"/>
      <c r="X99" s="66"/>
      <c r="Y99" s="63"/>
      <c r="Z99" s="66"/>
      <c r="AA99" s="32"/>
      <c r="AC99" s="67">
        <v>43574</v>
      </c>
    </row>
    <row r="100" spans="1:29">
      <c r="A100" s="62"/>
      <c r="B100" s="63">
        <v>125.646935</v>
      </c>
      <c r="C100" s="66"/>
      <c r="D100" s="66"/>
      <c r="E100" s="66"/>
      <c r="F100" s="66"/>
      <c r="G100" s="63"/>
      <c r="H100" s="66"/>
      <c r="I100" s="63"/>
      <c r="J100" s="66"/>
      <c r="K100" s="63"/>
      <c r="L100" s="66"/>
      <c r="M100" s="63"/>
      <c r="N100" s="66"/>
      <c r="O100" s="66"/>
      <c r="P100" s="66"/>
      <c r="Q100" s="66"/>
      <c r="R100" s="63"/>
      <c r="S100" s="66"/>
      <c r="T100" s="63"/>
      <c r="U100" s="66"/>
      <c r="V100" s="26"/>
      <c r="W100" s="63"/>
      <c r="X100" s="66"/>
      <c r="Y100" s="63"/>
      <c r="Z100" s="66"/>
      <c r="AA100" s="32"/>
      <c r="AC100" s="67">
        <v>43581</v>
      </c>
    </row>
    <row r="101" spans="1:29">
      <c r="A101" s="62"/>
      <c r="B101" s="63">
        <v>123.92160800000001</v>
      </c>
      <c r="C101" s="66"/>
      <c r="D101" s="66"/>
      <c r="E101" s="66"/>
      <c r="F101" s="66"/>
      <c r="G101" s="63"/>
      <c r="H101" s="66"/>
      <c r="I101" s="63"/>
      <c r="J101" s="66"/>
      <c r="K101" s="63"/>
      <c r="L101" s="66"/>
      <c r="M101" s="63"/>
      <c r="N101" s="66"/>
      <c r="O101" s="66"/>
      <c r="P101" s="66"/>
      <c r="Q101" s="66"/>
      <c r="R101" s="63"/>
      <c r="S101" s="66"/>
      <c r="T101" s="63"/>
      <c r="U101" s="66"/>
      <c r="V101" s="26"/>
      <c r="W101" s="63"/>
      <c r="X101" s="66"/>
      <c r="Y101" s="63"/>
      <c r="Z101" s="66"/>
      <c r="AA101" s="32"/>
      <c r="AC101" s="67">
        <v>43588</v>
      </c>
    </row>
    <row r="102" spans="1:29">
      <c r="A102" s="62"/>
      <c r="B102" s="63">
        <v>124.837891</v>
      </c>
      <c r="C102" s="66"/>
      <c r="D102" s="66"/>
      <c r="E102" s="66"/>
      <c r="F102" s="66"/>
      <c r="G102" s="63"/>
      <c r="H102" s="66"/>
      <c r="I102" s="63"/>
      <c r="J102" s="66"/>
      <c r="K102" s="63"/>
      <c r="L102" s="66"/>
      <c r="M102" s="63"/>
      <c r="N102" s="66"/>
      <c r="O102" s="66"/>
      <c r="P102" s="66"/>
      <c r="Q102" s="66"/>
      <c r="R102" s="63"/>
      <c r="S102" s="66"/>
      <c r="T102" s="63"/>
      <c r="U102" s="66"/>
      <c r="V102" s="26"/>
      <c r="W102" s="63"/>
      <c r="X102" s="66"/>
      <c r="Y102" s="63"/>
      <c r="Z102" s="66"/>
      <c r="AA102" s="32"/>
      <c r="AC102" s="67">
        <v>43595</v>
      </c>
    </row>
    <row r="103" spans="1:29">
      <c r="A103" s="62"/>
      <c r="B103" s="63">
        <v>123.509567</v>
      </c>
      <c r="C103" s="66"/>
      <c r="D103" s="66"/>
      <c r="E103" s="66"/>
      <c r="F103" s="66"/>
      <c r="G103" s="63"/>
      <c r="H103" s="66"/>
      <c r="I103" s="63"/>
      <c r="J103" s="66"/>
      <c r="K103" s="63"/>
      <c r="L103" s="66"/>
      <c r="M103" s="63"/>
      <c r="N103" s="66"/>
      <c r="O103" s="66"/>
      <c r="P103" s="66"/>
      <c r="Q103" s="66"/>
      <c r="R103" s="63"/>
      <c r="S103" s="66"/>
      <c r="T103" s="63"/>
      <c r="U103" s="66"/>
      <c r="V103" s="26"/>
      <c r="W103" s="63"/>
      <c r="X103" s="66"/>
      <c r="Y103" s="63"/>
      <c r="Z103" s="66"/>
      <c r="AA103" s="32"/>
      <c r="AC103" s="67">
        <v>43602</v>
      </c>
    </row>
    <row r="104" spans="1:29">
      <c r="A104" s="62"/>
      <c r="B104" s="63">
        <v>121.00494399999999</v>
      </c>
      <c r="C104" s="66"/>
      <c r="D104" s="66"/>
      <c r="E104" s="66"/>
      <c r="F104" s="66"/>
      <c r="G104" s="63"/>
      <c r="H104" s="66"/>
      <c r="I104" s="63"/>
      <c r="J104" s="66"/>
      <c r="K104" s="63"/>
      <c r="L104" s="66"/>
      <c r="M104" s="63"/>
      <c r="N104" s="66"/>
      <c r="O104" s="66"/>
      <c r="P104" s="66"/>
      <c r="Q104" s="66"/>
      <c r="R104" s="63"/>
      <c r="S104" s="66"/>
      <c r="T104" s="63"/>
      <c r="U104" s="66"/>
      <c r="V104" s="26"/>
      <c r="W104" s="63"/>
      <c r="X104" s="66"/>
      <c r="Y104" s="63"/>
      <c r="Z104" s="66"/>
      <c r="AA104" s="32"/>
      <c r="AC104" s="67">
        <v>43609</v>
      </c>
    </row>
    <row r="105" spans="1:29">
      <c r="A105" s="62"/>
      <c r="B105" s="63">
        <v>128.557953</v>
      </c>
      <c r="C105" s="66"/>
      <c r="D105" s="66"/>
      <c r="E105" s="66"/>
      <c r="F105" s="66"/>
      <c r="G105" s="63"/>
      <c r="H105" s="66"/>
      <c r="I105" s="63"/>
      <c r="J105" s="66"/>
      <c r="K105" s="63"/>
      <c r="L105" s="66"/>
      <c r="M105" s="63"/>
      <c r="N105" s="66"/>
      <c r="O105" s="66"/>
      <c r="P105" s="66"/>
      <c r="Q105" s="66"/>
      <c r="R105" s="63"/>
      <c r="S105" s="66"/>
      <c r="T105" s="63"/>
      <c r="U105" s="66"/>
      <c r="V105" s="26"/>
      <c r="W105" s="63"/>
      <c r="X105" s="66"/>
      <c r="Y105" s="63"/>
      <c r="Z105" s="66"/>
      <c r="AA105" s="32"/>
      <c r="AC105" s="67">
        <v>43616</v>
      </c>
    </row>
    <row r="106" spans="1:29">
      <c r="A106" s="62"/>
      <c r="B106" s="63">
        <v>129.585251</v>
      </c>
      <c r="C106" s="66"/>
      <c r="D106" s="66"/>
      <c r="E106" s="66"/>
      <c r="F106" s="66"/>
      <c r="G106" s="63"/>
      <c r="H106" s="66"/>
      <c r="I106" s="63"/>
      <c r="J106" s="66"/>
      <c r="K106" s="63"/>
      <c r="L106" s="66"/>
      <c r="M106" s="63"/>
      <c r="N106" s="66"/>
      <c r="O106" s="66"/>
      <c r="P106" s="66"/>
      <c r="Q106" s="66"/>
      <c r="R106" s="63"/>
      <c r="S106" s="66"/>
      <c r="T106" s="63"/>
      <c r="U106" s="66"/>
      <c r="V106" s="26"/>
      <c r="W106" s="63"/>
      <c r="X106" s="66"/>
      <c r="Y106" s="63"/>
      <c r="Z106" s="66"/>
      <c r="AA106" s="32"/>
      <c r="AC106" s="67">
        <v>43623</v>
      </c>
    </row>
    <row r="107" spans="1:29">
      <c r="A107" s="62"/>
      <c r="B107" s="63">
        <v>134.00747699999999</v>
      </c>
      <c r="C107" s="66"/>
      <c r="D107" s="66"/>
      <c r="E107" s="66"/>
      <c r="F107" s="66"/>
      <c r="G107" s="63"/>
      <c r="H107" s="66"/>
      <c r="I107" s="63"/>
      <c r="J107" s="66"/>
      <c r="K107" s="63"/>
      <c r="L107" s="66"/>
      <c r="M107" s="63"/>
      <c r="N107" s="66"/>
      <c r="O107" s="66"/>
      <c r="P107" s="66"/>
      <c r="Q107" s="66"/>
      <c r="R107" s="63"/>
      <c r="S107" s="66"/>
      <c r="T107" s="63"/>
      <c r="U107" s="66"/>
      <c r="V107" s="26"/>
      <c r="W107" s="63"/>
      <c r="X107" s="66"/>
      <c r="Y107" s="63"/>
      <c r="Z107" s="66"/>
      <c r="AA107" s="32"/>
      <c r="AC107" s="67">
        <v>43630</v>
      </c>
    </row>
    <row r="108" spans="1:29">
      <c r="A108" s="62"/>
      <c r="B108" s="63">
        <v>131.062592</v>
      </c>
      <c r="C108" s="66"/>
      <c r="D108" s="66"/>
      <c r="E108" s="66"/>
      <c r="F108" s="66"/>
      <c r="G108" s="63"/>
      <c r="H108" s="66"/>
      <c r="I108" s="63"/>
      <c r="J108" s="66"/>
      <c r="K108" s="63"/>
      <c r="L108" s="66"/>
      <c r="M108" s="63"/>
      <c r="N108" s="66"/>
      <c r="O108" s="66"/>
      <c r="P108" s="66"/>
      <c r="Q108" s="66"/>
      <c r="R108" s="63"/>
      <c r="S108" s="66"/>
      <c r="T108" s="63"/>
      <c r="U108" s="66"/>
      <c r="V108" s="26"/>
      <c r="W108" s="63"/>
      <c r="X108" s="66"/>
      <c r="Y108" s="63"/>
      <c r="Z108" s="66"/>
      <c r="AA108" s="32"/>
      <c r="AC108" s="67">
        <v>43637</v>
      </c>
    </row>
    <row r="109" spans="1:29">
      <c r="A109" s="62"/>
      <c r="B109" s="63">
        <v>134.09553500000001</v>
      </c>
      <c r="C109" s="66"/>
      <c r="D109" s="66"/>
      <c r="E109" s="66"/>
      <c r="F109" s="66"/>
      <c r="G109" s="63"/>
      <c r="H109" s="66"/>
      <c r="I109" s="63"/>
      <c r="J109" s="66"/>
      <c r="K109" s="63"/>
      <c r="L109" s="66"/>
      <c r="M109" s="63"/>
      <c r="N109" s="66"/>
      <c r="O109" s="66"/>
      <c r="P109" s="66"/>
      <c r="Q109" s="66"/>
      <c r="R109" s="63"/>
      <c r="S109" s="66"/>
      <c r="T109" s="63"/>
      <c r="U109" s="66"/>
      <c r="V109" s="26"/>
      <c r="W109" s="63"/>
      <c r="X109" s="66"/>
      <c r="Y109" s="63"/>
      <c r="Z109" s="66"/>
      <c r="AA109" s="32"/>
      <c r="AC109" s="67">
        <v>43644</v>
      </c>
    </row>
    <row r="110" spans="1:29">
      <c r="A110" s="62"/>
      <c r="B110" s="63">
        <v>135.895737</v>
      </c>
      <c r="C110" s="66"/>
      <c r="D110" s="66"/>
      <c r="E110" s="66"/>
      <c r="F110" s="66"/>
      <c r="G110" s="63"/>
      <c r="H110" s="66"/>
      <c r="I110" s="63"/>
      <c r="J110" s="66"/>
      <c r="K110" s="63"/>
      <c r="L110" s="66"/>
      <c r="M110" s="63"/>
      <c r="N110" s="66"/>
      <c r="O110" s="66"/>
      <c r="P110" s="66"/>
      <c r="Q110" s="66"/>
      <c r="R110" s="63"/>
      <c r="S110" s="66"/>
      <c r="T110" s="63"/>
      <c r="U110" s="66"/>
      <c r="V110" s="26"/>
      <c r="W110" s="63"/>
      <c r="X110" s="66"/>
      <c r="Y110" s="63"/>
      <c r="Z110" s="66"/>
      <c r="AA110" s="32"/>
      <c r="AC110" s="67">
        <v>43651</v>
      </c>
    </row>
    <row r="111" spans="1:29">
      <c r="A111" s="62"/>
      <c r="B111" s="63">
        <v>133.66503900000001</v>
      </c>
      <c r="C111" s="66"/>
      <c r="D111" s="66"/>
      <c r="E111" s="66"/>
      <c r="F111" s="66"/>
      <c r="G111" s="63"/>
      <c r="H111" s="66"/>
      <c r="I111" s="63"/>
      <c r="J111" s="66"/>
      <c r="K111" s="63"/>
      <c r="L111" s="66"/>
      <c r="M111" s="63"/>
      <c r="N111" s="66"/>
      <c r="O111" s="66"/>
      <c r="P111" s="66"/>
      <c r="Q111" s="66"/>
      <c r="R111" s="63"/>
      <c r="S111" s="66"/>
      <c r="T111" s="63"/>
      <c r="U111" s="66"/>
      <c r="V111" s="26"/>
      <c r="W111" s="63"/>
      <c r="X111" s="66"/>
      <c r="Y111" s="63"/>
      <c r="Z111" s="66"/>
      <c r="AA111" s="32"/>
      <c r="AC111" s="67">
        <v>43658</v>
      </c>
    </row>
    <row r="112" spans="1:29">
      <c r="A112" s="62"/>
      <c r="B112" s="63">
        <v>138.28295900000001</v>
      </c>
      <c r="C112" s="66"/>
      <c r="D112" s="66"/>
      <c r="E112" s="66"/>
      <c r="F112" s="66"/>
      <c r="G112" s="63"/>
      <c r="H112" s="66"/>
      <c r="I112" s="63"/>
      <c r="J112" s="66"/>
      <c r="K112" s="63"/>
      <c r="L112" s="66"/>
      <c r="M112" s="63"/>
      <c r="N112" s="66"/>
      <c r="O112" s="66"/>
      <c r="P112" s="66"/>
      <c r="Q112" s="66"/>
      <c r="R112" s="63"/>
      <c r="S112" s="66"/>
      <c r="T112" s="63"/>
      <c r="U112" s="66"/>
      <c r="V112" s="26"/>
      <c r="W112" s="63"/>
      <c r="X112" s="66"/>
      <c r="Y112" s="63"/>
      <c r="Z112" s="66"/>
      <c r="AA112" s="32"/>
      <c r="AC112" s="67">
        <v>43665</v>
      </c>
    </row>
    <row r="113" spans="1:29">
      <c r="A113" s="62"/>
      <c r="B113" s="63">
        <v>133.93899500000001</v>
      </c>
      <c r="C113" s="66"/>
      <c r="D113" s="66"/>
      <c r="E113" s="66"/>
      <c r="F113" s="66"/>
      <c r="G113" s="63"/>
      <c r="H113" s="66"/>
      <c r="I113" s="63"/>
      <c r="J113" s="66"/>
      <c r="K113" s="63"/>
      <c r="L113" s="66"/>
      <c r="M113" s="63"/>
      <c r="N113" s="66"/>
      <c r="O113" s="66"/>
      <c r="P113" s="66"/>
      <c r="Q113" s="66"/>
      <c r="R113" s="63"/>
      <c r="S113" s="66"/>
      <c r="T113" s="63"/>
      <c r="U113" s="66"/>
      <c r="V113" s="26"/>
      <c r="W113" s="63"/>
      <c r="X113" s="66"/>
      <c r="Y113" s="63"/>
      <c r="Z113" s="66"/>
      <c r="AA113" s="32"/>
      <c r="AC113" s="67">
        <v>43672</v>
      </c>
    </row>
    <row r="114" spans="1:29">
      <c r="A114" s="62"/>
      <c r="B114" s="63">
        <v>134.731506</v>
      </c>
      <c r="C114" s="66"/>
      <c r="D114" s="66"/>
      <c r="E114" s="66"/>
      <c r="F114" s="66"/>
      <c r="G114" s="63"/>
      <c r="H114" s="66"/>
      <c r="I114" s="63"/>
      <c r="J114" s="66"/>
      <c r="K114" s="63"/>
      <c r="L114" s="66"/>
      <c r="M114" s="63"/>
      <c r="N114" s="66"/>
      <c r="O114" s="66"/>
      <c r="P114" s="66"/>
      <c r="Q114" s="66"/>
      <c r="R114" s="63"/>
      <c r="S114" s="66"/>
      <c r="T114" s="63"/>
      <c r="U114" s="66"/>
      <c r="V114" s="26"/>
      <c r="W114" s="63"/>
      <c r="X114" s="66"/>
      <c r="Y114" s="63"/>
      <c r="Z114" s="66"/>
      <c r="AA114" s="32"/>
      <c r="AC114" s="67">
        <v>43679</v>
      </c>
    </row>
    <row r="115" spans="1:29">
      <c r="A115" s="62"/>
      <c r="B115" s="63">
        <v>133.185654</v>
      </c>
      <c r="C115" s="66"/>
      <c r="D115" s="66"/>
      <c r="E115" s="66"/>
      <c r="F115" s="66"/>
      <c r="G115" s="63"/>
      <c r="H115" s="66"/>
      <c r="I115" s="63"/>
      <c r="J115" s="66"/>
      <c r="K115" s="63"/>
      <c r="L115" s="66"/>
      <c r="M115" s="63"/>
      <c r="N115" s="66"/>
      <c r="O115" s="66"/>
      <c r="P115" s="66"/>
      <c r="Q115" s="66"/>
      <c r="R115" s="63"/>
      <c r="S115" s="66"/>
      <c r="T115" s="63"/>
      <c r="U115" s="66"/>
      <c r="V115" s="26"/>
      <c r="W115" s="63"/>
      <c r="X115" s="66"/>
      <c r="Y115" s="63"/>
      <c r="Z115" s="66"/>
      <c r="AA115" s="32"/>
      <c r="AC115" s="67">
        <v>43686</v>
      </c>
    </row>
    <row r="116" spans="1:29">
      <c r="A116" s="62"/>
      <c r="B116" s="63">
        <v>130.93948399999999</v>
      </c>
      <c r="C116" s="66"/>
      <c r="D116" s="66"/>
      <c r="E116" s="66"/>
      <c r="F116" s="66"/>
      <c r="G116" s="63"/>
      <c r="H116" s="66"/>
      <c r="I116" s="63"/>
      <c r="J116" s="66"/>
      <c r="K116" s="63"/>
      <c r="L116" s="66"/>
      <c r="M116" s="63"/>
      <c r="N116" s="66"/>
      <c r="O116" s="66"/>
      <c r="P116" s="66"/>
      <c r="Q116" s="66"/>
      <c r="R116" s="63"/>
      <c r="S116" s="66"/>
      <c r="T116" s="63"/>
      <c r="U116" s="66"/>
      <c r="V116" s="26"/>
      <c r="W116" s="63"/>
      <c r="X116" s="66"/>
      <c r="Y116" s="63"/>
      <c r="Z116" s="66"/>
      <c r="AA116" s="32"/>
      <c r="AC116" s="67">
        <v>43693</v>
      </c>
    </row>
    <row r="117" spans="1:29">
      <c r="A117" s="62"/>
      <c r="B117" s="63">
        <v>135.32737700000001</v>
      </c>
      <c r="C117" s="66"/>
      <c r="D117" s="66"/>
      <c r="E117" s="66"/>
      <c r="F117" s="66"/>
      <c r="G117" s="63"/>
      <c r="H117" s="66"/>
      <c r="I117" s="63"/>
      <c r="J117" s="66"/>
      <c r="K117" s="63"/>
      <c r="L117" s="66"/>
      <c r="M117" s="63"/>
      <c r="N117" s="66"/>
      <c r="O117" s="66"/>
      <c r="P117" s="66"/>
      <c r="Q117" s="66"/>
      <c r="R117" s="63"/>
      <c r="S117" s="66"/>
      <c r="T117" s="63"/>
      <c r="U117" s="66"/>
      <c r="X117" s="66"/>
      <c r="Y117" s="63"/>
      <c r="Z117" s="66"/>
      <c r="AA117" s="32"/>
      <c r="AC117" s="67">
        <v>43700</v>
      </c>
    </row>
    <row r="118" spans="1:29">
      <c r="A118" s="62"/>
      <c r="B118" s="63">
        <v>136.54458600000001</v>
      </c>
      <c r="C118" s="66"/>
      <c r="D118" s="66"/>
      <c r="E118" s="66"/>
      <c r="F118" s="66"/>
      <c r="G118" s="63"/>
      <c r="H118" s="66"/>
      <c r="I118" s="63"/>
      <c r="J118" s="66"/>
      <c r="K118" s="63"/>
      <c r="L118" s="66"/>
      <c r="M118" s="63"/>
      <c r="N118" s="66"/>
      <c r="O118" s="66"/>
      <c r="P118" s="66"/>
      <c r="Q118" s="66"/>
      <c r="R118" s="63"/>
      <c r="S118" s="66"/>
      <c r="T118" s="63"/>
      <c r="U118" s="66"/>
      <c r="X118" s="66"/>
      <c r="Y118" s="63"/>
      <c r="Z118" s="66"/>
      <c r="AA118" s="32"/>
      <c r="AC118" s="67">
        <v>43707</v>
      </c>
    </row>
    <row r="119" spans="1:29">
      <c r="A119" s="62"/>
      <c r="B119" s="63">
        <v>134.797302</v>
      </c>
      <c r="C119" s="66"/>
      <c r="D119" s="66"/>
      <c r="E119" s="66"/>
      <c r="F119" s="66"/>
      <c r="G119" s="63"/>
      <c r="H119" s="66"/>
      <c r="I119" s="63"/>
      <c r="J119" s="66"/>
      <c r="K119" s="63"/>
      <c r="L119" s="66"/>
      <c r="M119" s="63"/>
      <c r="N119" s="66"/>
      <c r="O119" s="66"/>
      <c r="P119" s="66"/>
      <c r="Q119" s="66"/>
      <c r="R119" s="63"/>
      <c r="S119" s="66"/>
      <c r="T119" s="63"/>
      <c r="U119" s="66"/>
      <c r="X119" s="66"/>
      <c r="Y119" s="63"/>
      <c r="Z119" s="66"/>
      <c r="AA119" s="32"/>
      <c r="AC119" s="67">
        <v>43714</v>
      </c>
    </row>
    <row r="120" spans="1:29">
      <c r="A120" s="62"/>
      <c r="B120" s="63">
        <v>136.878342</v>
      </c>
      <c r="C120" s="66"/>
      <c r="D120" s="66"/>
      <c r="E120" s="66"/>
      <c r="F120" s="66"/>
      <c r="G120" s="63"/>
      <c r="H120" s="66"/>
      <c r="I120" s="63"/>
      <c r="J120" s="66"/>
      <c r="K120" s="63"/>
      <c r="L120" s="66"/>
      <c r="M120" s="63"/>
      <c r="N120" s="66"/>
      <c r="O120" s="66"/>
      <c r="P120" s="66"/>
      <c r="Q120" s="66"/>
      <c r="R120" s="63"/>
      <c r="S120" s="66"/>
      <c r="T120" s="63"/>
      <c r="U120" s="66"/>
      <c r="X120" s="66"/>
      <c r="Y120" s="63"/>
      <c r="Z120" s="66"/>
      <c r="AA120" s="32"/>
      <c r="AC120" s="67">
        <v>43721</v>
      </c>
    </row>
    <row r="121" spans="1:29">
      <c r="A121" s="62"/>
      <c r="B121" s="63">
        <v>135.19975299999999</v>
      </c>
      <c r="C121" s="66"/>
      <c r="D121" s="66"/>
      <c r="E121" s="66"/>
      <c r="F121" s="66"/>
      <c r="G121" s="63"/>
      <c r="H121" s="66"/>
      <c r="I121" s="63"/>
      <c r="J121" s="66"/>
      <c r="K121" s="63"/>
      <c r="L121" s="66"/>
      <c r="M121" s="63"/>
      <c r="N121" s="66"/>
      <c r="O121" s="66"/>
      <c r="P121" s="66"/>
      <c r="Q121" s="66"/>
      <c r="R121" s="63"/>
      <c r="S121" s="66"/>
      <c r="T121" s="63"/>
      <c r="U121" s="66"/>
      <c r="X121" s="66"/>
      <c r="Y121" s="63"/>
      <c r="Z121" s="66"/>
      <c r="AA121" s="32"/>
      <c r="AC121" s="67">
        <v>43728</v>
      </c>
    </row>
    <row r="122" spans="1:29">
      <c r="A122" s="62"/>
      <c r="B122" s="63">
        <v>135.582581</v>
      </c>
      <c r="C122" s="66"/>
      <c r="D122" s="66"/>
      <c r="E122" s="66"/>
      <c r="F122" s="66"/>
      <c r="G122" s="63"/>
      <c r="H122" s="66"/>
      <c r="I122" s="63"/>
      <c r="J122" s="66"/>
      <c r="K122" s="63"/>
      <c r="L122" s="66"/>
      <c r="M122" s="63"/>
      <c r="N122" s="66"/>
      <c r="O122" s="66"/>
      <c r="P122" s="66"/>
      <c r="Q122" s="66"/>
      <c r="R122" s="63"/>
      <c r="S122" s="66"/>
      <c r="T122" s="63"/>
      <c r="U122" s="66"/>
      <c r="X122" s="66"/>
      <c r="Y122" s="63"/>
      <c r="Z122" s="66"/>
      <c r="AA122" s="32"/>
      <c r="AC122" s="67">
        <v>43735</v>
      </c>
    </row>
    <row r="123" spans="1:29">
      <c r="A123" s="62"/>
      <c r="B123" s="63">
        <v>137.11393699999999</v>
      </c>
      <c r="C123" s="66"/>
      <c r="D123" s="66"/>
      <c r="E123" s="66"/>
      <c r="F123" s="66"/>
      <c r="G123" s="63"/>
      <c r="H123" s="66"/>
      <c r="I123" s="63"/>
      <c r="J123" s="66"/>
      <c r="K123" s="63"/>
      <c r="L123" s="66"/>
      <c r="M123" s="63"/>
      <c r="N123" s="66"/>
      <c r="O123" s="66"/>
      <c r="P123" s="66"/>
      <c r="Q123" s="66"/>
      <c r="R123" s="63"/>
      <c r="S123" s="66"/>
      <c r="T123" s="63"/>
      <c r="U123" s="66"/>
      <c r="X123" s="66"/>
      <c r="Y123" s="63"/>
      <c r="Z123" s="66"/>
      <c r="AA123" s="32"/>
      <c r="AC123" s="67">
        <v>43742</v>
      </c>
    </row>
    <row r="124" spans="1:29">
      <c r="A124" s="62"/>
      <c r="B124" s="63">
        <v>134.88563500000001</v>
      </c>
      <c r="C124" s="66"/>
      <c r="D124" s="66"/>
      <c r="E124" s="66"/>
      <c r="F124" s="66"/>
      <c r="G124" s="63"/>
      <c r="H124" s="66"/>
      <c r="I124" s="63"/>
      <c r="J124" s="66"/>
      <c r="K124" s="63"/>
      <c r="L124" s="66"/>
      <c r="M124" s="63"/>
      <c r="N124" s="66"/>
      <c r="O124" s="66"/>
      <c r="P124" s="66"/>
      <c r="Q124" s="66"/>
      <c r="R124" s="63"/>
      <c r="S124" s="66"/>
      <c r="T124" s="63"/>
      <c r="U124" s="66"/>
      <c r="X124" s="66"/>
      <c r="Y124" s="63"/>
      <c r="Z124" s="66"/>
      <c r="AA124" s="32"/>
      <c r="AC124" s="67">
        <v>43749</v>
      </c>
    </row>
    <row r="125" spans="1:29">
      <c r="A125" s="62"/>
      <c r="B125" s="63">
        <v>138.14465300000001</v>
      </c>
      <c r="C125" s="66"/>
      <c r="D125" s="66"/>
      <c r="E125" s="66"/>
      <c r="F125" s="66"/>
      <c r="G125" s="63"/>
      <c r="H125" s="66"/>
      <c r="I125" s="63"/>
      <c r="J125" s="66"/>
      <c r="K125" s="63"/>
      <c r="L125" s="66"/>
      <c r="M125" s="63"/>
      <c r="N125" s="66"/>
      <c r="O125" s="66"/>
      <c r="P125" s="66"/>
      <c r="Q125" s="66"/>
      <c r="R125" s="63"/>
      <c r="S125" s="66"/>
      <c r="T125" s="63"/>
      <c r="U125" s="66"/>
      <c r="X125" s="66"/>
      <c r="Y125" s="63"/>
      <c r="Z125" s="66"/>
      <c r="AA125" s="32"/>
      <c r="AC125" s="67">
        <v>43756</v>
      </c>
    </row>
    <row r="126" spans="1:29">
      <c r="A126" s="62"/>
      <c r="B126" s="63">
        <v>141.07974200000001</v>
      </c>
      <c r="C126" s="66"/>
      <c r="D126" s="66"/>
      <c r="E126" s="66"/>
      <c r="F126" s="66"/>
      <c r="G126" s="63"/>
      <c r="H126" s="66"/>
      <c r="I126" s="63"/>
      <c r="J126" s="66"/>
      <c r="K126" s="63"/>
      <c r="L126" s="66"/>
      <c r="M126" s="63"/>
      <c r="N126" s="66"/>
      <c r="O126" s="66"/>
      <c r="P126" s="66"/>
      <c r="Q126" s="66"/>
      <c r="R126" s="63"/>
      <c r="S126" s="66"/>
      <c r="T126" s="63"/>
      <c r="U126" s="66"/>
      <c r="X126" s="66"/>
      <c r="Y126" s="63"/>
      <c r="Z126" s="66"/>
      <c r="AA126" s="32"/>
      <c r="AC126" s="67">
        <v>43763</v>
      </c>
    </row>
    <row r="127" spans="1:29">
      <c r="A127" s="62"/>
      <c r="B127" s="63">
        <v>143.278595</v>
      </c>
      <c r="C127" s="66"/>
      <c r="D127" s="66"/>
      <c r="E127" s="66"/>
      <c r="F127" s="66"/>
      <c r="G127" s="63"/>
      <c r="H127" s="66"/>
      <c r="I127" s="63"/>
      <c r="J127" s="66"/>
      <c r="K127" s="63"/>
      <c r="L127" s="66"/>
      <c r="M127" s="63"/>
      <c r="N127" s="66"/>
      <c r="O127" s="66"/>
      <c r="P127" s="66"/>
      <c r="Q127" s="66"/>
      <c r="R127" s="63"/>
      <c r="S127" s="66"/>
      <c r="T127" s="63"/>
      <c r="U127" s="66"/>
      <c r="X127" s="66"/>
      <c r="Y127" s="63"/>
      <c r="Z127" s="66"/>
      <c r="AA127" s="32"/>
      <c r="AC127" s="67">
        <v>43770</v>
      </c>
    </row>
    <row r="128" spans="1:29">
      <c r="A128" s="62"/>
      <c r="B128" s="63">
        <v>147.21490499999999</v>
      </c>
      <c r="C128" s="66"/>
      <c r="D128" s="66"/>
      <c r="E128" s="66"/>
      <c r="F128" s="66"/>
      <c r="G128" s="63"/>
      <c r="H128" s="66"/>
      <c r="I128" s="63"/>
      <c r="J128" s="66"/>
      <c r="K128" s="63"/>
      <c r="L128" s="66"/>
      <c r="M128" s="63"/>
      <c r="N128" s="66"/>
      <c r="O128" s="66"/>
      <c r="P128" s="66"/>
      <c r="Q128" s="66"/>
      <c r="R128" s="63"/>
      <c r="S128" s="66"/>
      <c r="T128" s="63"/>
      <c r="U128" s="66"/>
      <c r="X128" s="66"/>
      <c r="Y128" s="63"/>
      <c r="Z128" s="66"/>
      <c r="AA128" s="32"/>
      <c r="AC128" s="67">
        <v>43777</v>
      </c>
    </row>
    <row r="129" spans="1:29">
      <c r="A129" s="62"/>
      <c r="B129" s="63">
        <v>146.84187299999999</v>
      </c>
      <c r="C129" s="66"/>
      <c r="D129" s="66"/>
      <c r="E129" s="66"/>
      <c r="F129" s="66"/>
      <c r="G129" s="63"/>
      <c r="H129" s="66"/>
      <c r="I129" s="63"/>
      <c r="J129" s="66"/>
      <c r="K129" s="63"/>
      <c r="L129" s="66"/>
      <c r="M129" s="63"/>
      <c r="N129" s="66"/>
      <c r="O129" s="66"/>
      <c r="P129" s="66"/>
      <c r="Q129" s="66"/>
      <c r="R129" s="63"/>
      <c r="S129" s="66"/>
      <c r="T129" s="63"/>
      <c r="U129" s="66"/>
      <c r="X129" s="66"/>
      <c r="Y129" s="63"/>
      <c r="Z129" s="66"/>
      <c r="AA129" s="32"/>
      <c r="AC129" s="67">
        <v>43784</v>
      </c>
    </row>
    <row r="130" spans="1:29">
      <c r="A130" s="62"/>
      <c r="B130" s="63">
        <v>149.104645</v>
      </c>
      <c r="C130" s="66"/>
      <c r="D130" s="66"/>
      <c r="E130" s="66"/>
      <c r="F130" s="66"/>
      <c r="G130" s="63"/>
      <c r="H130" s="66"/>
      <c r="I130" s="63"/>
      <c r="J130" s="66"/>
      <c r="K130" s="63"/>
      <c r="L130" s="66"/>
      <c r="M130" s="63"/>
      <c r="N130" s="66"/>
      <c r="O130" s="66"/>
      <c r="P130" s="66"/>
      <c r="Q130" s="66"/>
      <c r="R130" s="63"/>
      <c r="S130" s="66"/>
      <c r="T130" s="63"/>
      <c r="U130" s="66"/>
      <c r="X130" s="66"/>
      <c r="Y130" s="63"/>
      <c r="Z130" s="66"/>
      <c r="AA130" s="32"/>
      <c r="AC130" s="67">
        <v>43791</v>
      </c>
    </row>
    <row r="131" spans="1:29">
      <c r="A131" s="62"/>
      <c r="B131" s="63">
        <v>149.46910099999999</v>
      </c>
      <c r="C131" s="66"/>
      <c r="D131" s="66"/>
      <c r="E131" s="66"/>
      <c r="F131" s="66"/>
      <c r="G131" s="63"/>
      <c r="H131" s="66"/>
      <c r="I131" s="63"/>
      <c r="J131" s="66"/>
      <c r="K131" s="63"/>
      <c r="L131" s="66"/>
      <c r="M131" s="63"/>
      <c r="N131" s="66"/>
      <c r="O131" s="66"/>
      <c r="P131" s="66"/>
      <c r="Q131" s="66"/>
      <c r="R131" s="63"/>
      <c r="S131" s="66"/>
      <c r="T131" s="63"/>
      <c r="U131" s="66"/>
      <c r="X131" s="66"/>
      <c r="Y131" s="63"/>
      <c r="Z131" s="66"/>
      <c r="AA131" s="32"/>
      <c r="AC131" s="67">
        <v>43798</v>
      </c>
    </row>
    <row r="132" spans="1:29">
      <c r="A132" s="62"/>
      <c r="B132" s="63">
        <v>152.207291</v>
      </c>
      <c r="C132" s="66"/>
      <c r="D132" s="66"/>
      <c r="E132" s="66"/>
      <c r="F132" s="66"/>
      <c r="G132" s="63"/>
      <c r="H132" s="66"/>
      <c r="I132" s="63"/>
      <c r="J132" s="66"/>
      <c r="K132" s="63"/>
      <c r="L132" s="66"/>
      <c r="M132" s="63"/>
      <c r="N132" s="66"/>
      <c r="O132" s="66"/>
      <c r="P132" s="66"/>
      <c r="Q132" s="66"/>
      <c r="R132" s="63"/>
      <c r="S132" s="66"/>
      <c r="T132" s="63"/>
      <c r="U132" s="66"/>
      <c r="X132" s="66"/>
      <c r="Y132" s="63"/>
      <c r="Z132" s="66"/>
      <c r="AA132" s="32"/>
      <c r="AC132" s="67">
        <v>43805</v>
      </c>
    </row>
    <row r="133" spans="1:29">
      <c r="A133" s="62"/>
      <c r="B133" s="63">
        <v>155.044037</v>
      </c>
      <c r="C133" s="66"/>
      <c r="D133" s="66"/>
      <c r="E133" s="66"/>
      <c r="F133" s="66"/>
      <c r="G133" s="63"/>
      <c r="H133" s="66"/>
      <c r="I133" s="63"/>
      <c r="J133" s="66"/>
      <c r="K133" s="63"/>
      <c r="L133" s="66"/>
      <c r="M133" s="63"/>
      <c r="N133" s="66"/>
      <c r="O133" s="66"/>
      <c r="P133" s="66"/>
      <c r="Q133" s="66"/>
      <c r="R133" s="63"/>
      <c r="S133" s="66"/>
      <c r="T133" s="63"/>
      <c r="U133" s="66"/>
      <c r="X133" s="66"/>
      <c r="Y133" s="63"/>
      <c r="Z133" s="66"/>
      <c r="AA133" s="32"/>
      <c r="AC133" s="67">
        <v>43812</v>
      </c>
    </row>
    <row r="134" spans="1:29">
      <c r="A134" s="62"/>
      <c r="B134" s="63">
        <v>156.57070899999999</v>
      </c>
      <c r="C134" s="66"/>
      <c r="D134" s="66"/>
      <c r="E134" s="66"/>
      <c r="F134" s="66"/>
      <c r="G134" s="63"/>
      <c r="H134" s="66"/>
      <c r="I134" s="63"/>
      <c r="J134" s="66"/>
      <c r="K134" s="63"/>
      <c r="L134" s="66"/>
      <c r="M134" s="63"/>
      <c r="N134" s="66"/>
      <c r="O134" s="66"/>
      <c r="P134" s="66"/>
      <c r="Q134" s="66"/>
      <c r="R134" s="63"/>
      <c r="S134" s="66"/>
      <c r="T134" s="63"/>
      <c r="U134" s="66"/>
      <c r="X134" s="66"/>
      <c r="Y134" s="63"/>
      <c r="Z134" s="66"/>
      <c r="AA134" s="32"/>
      <c r="AC134" s="67">
        <v>43819</v>
      </c>
    </row>
    <row r="135" spans="1:29">
      <c r="A135" s="62"/>
      <c r="B135" s="63">
        <v>156.23582500000001</v>
      </c>
      <c r="C135" s="66"/>
      <c r="D135" s="66"/>
      <c r="E135" s="66"/>
      <c r="F135" s="66"/>
      <c r="G135" s="63"/>
      <c r="H135" s="66"/>
      <c r="I135" s="63"/>
      <c r="J135" s="66"/>
      <c r="K135" s="63"/>
      <c r="L135" s="66"/>
      <c r="M135" s="63"/>
      <c r="N135" s="66"/>
      <c r="O135" s="66"/>
      <c r="P135" s="66"/>
      <c r="Q135" s="66"/>
      <c r="R135" s="63"/>
      <c r="S135" s="66"/>
      <c r="T135" s="63"/>
      <c r="U135" s="66"/>
      <c r="X135" s="66"/>
      <c r="Y135" s="63"/>
      <c r="Z135" s="66"/>
      <c r="AA135" s="32"/>
      <c r="AC135" s="67">
        <v>43826</v>
      </c>
    </row>
    <row r="136" spans="1:29">
      <c r="A136" s="62"/>
      <c r="B136" s="63">
        <v>158.91493199999999</v>
      </c>
      <c r="C136" s="66"/>
      <c r="D136" s="66"/>
      <c r="E136" s="66"/>
      <c r="F136" s="66"/>
      <c r="G136" s="63"/>
      <c r="H136" s="66"/>
      <c r="I136" s="63"/>
      <c r="J136" s="66"/>
      <c r="K136" s="63"/>
      <c r="L136" s="66"/>
      <c r="M136" s="63"/>
      <c r="N136" s="66"/>
      <c r="O136" s="66"/>
      <c r="P136" s="66"/>
      <c r="Q136" s="66"/>
      <c r="R136" s="63"/>
      <c r="S136" s="66"/>
      <c r="T136" s="63"/>
      <c r="U136" s="66"/>
      <c r="X136" s="66"/>
      <c r="Y136" s="63"/>
      <c r="Z136" s="66"/>
      <c r="AA136" s="32"/>
      <c r="AC136" s="67">
        <v>43833</v>
      </c>
    </row>
    <row r="137" spans="1:29">
      <c r="A137" s="62"/>
      <c r="B137" s="63">
        <v>164.588379</v>
      </c>
      <c r="C137" s="66"/>
      <c r="D137" s="66"/>
      <c r="E137" s="66"/>
      <c r="F137" s="66"/>
      <c r="G137" s="63"/>
      <c r="H137" s="66"/>
      <c r="I137" s="63"/>
      <c r="J137" s="66"/>
      <c r="K137" s="63"/>
      <c r="L137" s="66"/>
      <c r="M137" s="63"/>
      <c r="N137" s="66"/>
      <c r="O137" s="66"/>
      <c r="P137" s="66"/>
      <c r="Q137" s="66"/>
      <c r="R137" s="63"/>
      <c r="S137" s="66"/>
      <c r="T137" s="63"/>
      <c r="U137" s="66"/>
      <c r="X137" s="66"/>
      <c r="Y137" s="63"/>
      <c r="Z137" s="66"/>
      <c r="AA137" s="32"/>
      <c r="AC137" s="67">
        <v>43840</v>
      </c>
    </row>
    <row r="138" spans="1:29">
      <c r="A138" s="62"/>
      <c r="B138" s="63">
        <v>162.559326</v>
      </c>
      <c r="C138" s="66"/>
      <c r="D138" s="66"/>
      <c r="E138" s="66"/>
      <c r="F138" s="66"/>
      <c r="G138" s="63"/>
      <c r="H138" s="66"/>
      <c r="I138" s="63"/>
      <c r="J138" s="66"/>
      <c r="K138" s="63"/>
      <c r="L138" s="66"/>
      <c r="M138" s="63"/>
      <c r="N138" s="66"/>
      <c r="O138" s="66"/>
      <c r="P138" s="66"/>
      <c r="Q138" s="66"/>
      <c r="R138" s="63"/>
      <c r="S138" s="66"/>
      <c r="T138" s="63"/>
      <c r="U138" s="66"/>
      <c r="X138" s="66"/>
      <c r="Y138" s="63"/>
      <c r="Z138" s="66"/>
      <c r="AA138" s="32"/>
      <c r="AC138" s="67">
        <v>43847</v>
      </c>
    </row>
    <row r="139" spans="1:29">
      <c r="A139" s="62"/>
      <c r="B139" s="63">
        <v>167.67131000000001</v>
      </c>
      <c r="C139" s="66"/>
      <c r="D139" s="66"/>
      <c r="E139" s="66"/>
      <c r="F139" s="66"/>
      <c r="G139" s="63"/>
      <c r="H139" s="66"/>
      <c r="I139" s="63"/>
      <c r="J139" s="66"/>
      <c r="K139" s="63"/>
      <c r="L139" s="66"/>
      <c r="M139" s="63"/>
      <c r="N139" s="66"/>
      <c r="O139" s="66"/>
      <c r="P139" s="66"/>
      <c r="Q139" s="66"/>
      <c r="R139" s="63"/>
      <c r="S139" s="66"/>
      <c r="T139" s="63"/>
      <c r="U139" s="66"/>
      <c r="X139" s="66"/>
      <c r="Y139" s="63"/>
      <c r="Z139" s="66"/>
      <c r="AA139" s="32"/>
      <c r="AC139" s="67">
        <v>43854</v>
      </c>
    </row>
    <row r="140" spans="1:29">
      <c r="A140" s="62"/>
      <c r="B140" s="63">
        <v>181.12600699999999</v>
      </c>
      <c r="C140" s="66"/>
      <c r="D140" s="66"/>
      <c r="E140" s="66"/>
      <c r="F140" s="66"/>
      <c r="G140" s="63"/>
      <c r="H140" s="66"/>
      <c r="I140" s="63"/>
      <c r="J140" s="66"/>
      <c r="K140" s="63"/>
      <c r="L140" s="66"/>
      <c r="M140" s="63"/>
      <c r="N140" s="66"/>
      <c r="O140" s="66"/>
      <c r="P140" s="66"/>
      <c r="Q140" s="66"/>
      <c r="R140" s="63"/>
      <c r="S140" s="66"/>
      <c r="T140" s="63"/>
      <c r="U140" s="66"/>
      <c r="X140" s="66"/>
      <c r="Y140" s="63"/>
      <c r="Z140" s="66"/>
      <c r="AA140" s="32"/>
      <c r="AC140" s="67">
        <v>43861</v>
      </c>
    </row>
    <row r="141" spans="1:29">
      <c r="A141" s="62"/>
      <c r="B141" s="63">
        <v>182.56405599999999</v>
      </c>
      <c r="C141" s="66"/>
      <c r="D141" s="66"/>
      <c r="E141" s="66"/>
      <c r="F141" s="66"/>
      <c r="G141" s="63"/>
      <c r="H141" s="66"/>
      <c r="I141" s="63"/>
      <c r="J141" s="66"/>
      <c r="K141" s="63"/>
      <c r="L141" s="66"/>
      <c r="M141" s="63"/>
      <c r="N141" s="66"/>
      <c r="O141" s="66"/>
      <c r="P141" s="66"/>
      <c r="Q141" s="66"/>
      <c r="R141" s="63"/>
      <c r="S141" s="66"/>
      <c r="T141" s="63"/>
      <c r="U141" s="66"/>
      <c r="X141" s="66"/>
      <c r="Y141" s="63"/>
      <c r="Z141" s="66"/>
      <c r="AA141" s="32"/>
      <c r="AC141" s="67">
        <v>43868</v>
      </c>
    </row>
    <row r="142" spans="1:29">
      <c r="A142" s="62"/>
      <c r="B142" s="63">
        <v>175.905655</v>
      </c>
      <c r="C142" s="66"/>
      <c r="D142" s="66"/>
      <c r="E142" s="66"/>
      <c r="F142" s="66"/>
      <c r="G142" s="63"/>
      <c r="H142" s="66"/>
      <c r="I142" s="63"/>
      <c r="J142" s="66"/>
      <c r="K142" s="63"/>
      <c r="L142" s="66"/>
      <c r="M142" s="63"/>
      <c r="N142" s="66"/>
      <c r="O142" s="66"/>
      <c r="P142" s="66"/>
      <c r="Q142" s="66"/>
      <c r="R142" s="63"/>
      <c r="S142" s="66"/>
      <c r="T142" s="63"/>
      <c r="U142" s="66"/>
      <c r="X142" s="66"/>
      <c r="Y142" s="63"/>
      <c r="Z142" s="66"/>
      <c r="AA142" s="32"/>
      <c r="AC142" s="67">
        <v>43875</v>
      </c>
    </row>
    <row r="143" spans="1:29">
      <c r="A143" s="62"/>
      <c r="B143" s="63">
        <v>160.010727</v>
      </c>
      <c r="C143" s="66"/>
      <c r="D143" s="66"/>
      <c r="E143" s="66"/>
      <c r="F143" s="66"/>
      <c r="G143" s="63"/>
      <c r="H143" s="66"/>
      <c r="I143" s="63"/>
      <c r="J143" s="66"/>
      <c r="K143" s="63"/>
      <c r="L143" s="66"/>
      <c r="M143" s="63"/>
      <c r="N143" s="66"/>
      <c r="O143" s="66"/>
      <c r="P143" s="66"/>
      <c r="Q143" s="66"/>
      <c r="R143" s="63"/>
      <c r="S143" s="66"/>
      <c r="T143" s="63"/>
      <c r="U143" s="66"/>
      <c r="X143" s="66"/>
      <c r="Y143" s="63"/>
      <c r="Z143" s="66"/>
      <c r="AA143" s="32"/>
      <c r="AC143" s="67">
        <v>43882</v>
      </c>
    </row>
    <row r="144" spans="1:29">
      <c r="A144" s="62"/>
      <c r="B144" s="63">
        <v>159.57617200000001</v>
      </c>
      <c r="C144" s="66"/>
      <c r="D144" s="66"/>
      <c r="E144" s="66"/>
      <c r="F144" s="66"/>
      <c r="G144" s="63"/>
      <c r="H144" s="66"/>
      <c r="I144" s="63"/>
      <c r="J144" s="66"/>
      <c r="K144" s="63"/>
      <c r="L144" s="66"/>
      <c r="M144" s="63"/>
      <c r="N144" s="66"/>
      <c r="O144" s="66"/>
      <c r="P144" s="66"/>
      <c r="Q144" s="66"/>
      <c r="R144" s="63"/>
      <c r="S144" s="66"/>
      <c r="T144" s="63"/>
      <c r="U144" s="66"/>
      <c r="X144" s="66"/>
      <c r="Y144" s="63"/>
      <c r="Z144" s="66"/>
      <c r="AA144" s="32"/>
      <c r="AC144" s="67">
        <v>43889</v>
      </c>
    </row>
    <row r="145" spans="1:29">
      <c r="A145" s="62"/>
      <c r="B145" s="63">
        <v>156.86996500000001</v>
      </c>
      <c r="C145" s="66"/>
      <c r="D145" s="66"/>
      <c r="E145" s="66"/>
      <c r="F145" s="66"/>
      <c r="G145" s="63"/>
      <c r="H145" s="66"/>
      <c r="I145" s="63"/>
      <c r="J145" s="66"/>
      <c r="K145" s="63"/>
      <c r="L145" s="66"/>
      <c r="M145" s="63"/>
      <c r="N145" s="66"/>
      <c r="O145" s="66"/>
      <c r="P145" s="66"/>
      <c r="Q145" s="66"/>
      <c r="R145" s="63"/>
      <c r="S145" s="66"/>
      <c r="T145" s="63"/>
      <c r="U145" s="66"/>
      <c r="X145" s="66"/>
      <c r="Y145" s="63"/>
      <c r="Z145" s="66"/>
      <c r="AA145" s="32"/>
      <c r="AC145" s="67">
        <v>43896</v>
      </c>
    </row>
    <row r="146" spans="1:29">
      <c r="A146" s="62"/>
      <c r="B146" s="63">
        <v>135.65502900000001</v>
      </c>
      <c r="C146" s="66"/>
      <c r="D146" s="66"/>
      <c r="E146" s="66"/>
      <c r="F146" s="66"/>
      <c r="G146" s="63"/>
      <c r="H146" s="66"/>
      <c r="I146" s="63"/>
      <c r="J146" s="66"/>
      <c r="K146" s="63"/>
      <c r="L146" s="66"/>
      <c r="M146" s="63"/>
      <c r="N146" s="66"/>
      <c r="O146" s="66"/>
      <c r="P146" s="66"/>
      <c r="Q146" s="66"/>
      <c r="R146" s="63"/>
      <c r="S146" s="66"/>
      <c r="T146" s="63"/>
      <c r="U146" s="66"/>
      <c r="X146" s="66"/>
      <c r="Y146" s="63"/>
      <c r="Z146" s="66"/>
      <c r="AA146" s="32"/>
      <c r="AC146" s="67">
        <v>43903</v>
      </c>
    </row>
    <row r="147" spans="1:29">
      <c r="A147" s="62"/>
      <c r="B147" s="63">
        <v>147.852631</v>
      </c>
      <c r="C147" s="66"/>
      <c r="D147" s="66"/>
      <c r="E147" s="66"/>
      <c r="F147" s="66"/>
      <c r="G147" s="63"/>
      <c r="H147" s="66"/>
      <c r="I147" s="63"/>
      <c r="J147" s="66"/>
      <c r="K147" s="63"/>
      <c r="L147" s="66"/>
      <c r="M147" s="63"/>
      <c r="N147" s="66"/>
      <c r="O147" s="66"/>
      <c r="P147" s="66"/>
      <c r="Q147" s="66"/>
      <c r="R147" s="63"/>
      <c r="S147" s="66"/>
      <c r="T147" s="63"/>
      <c r="U147" s="66"/>
      <c r="X147" s="66"/>
      <c r="Y147" s="63"/>
      <c r="Z147" s="66"/>
      <c r="AA147" s="32"/>
      <c r="AC147" s="67">
        <v>43910</v>
      </c>
    </row>
    <row r="148" spans="1:29">
      <c r="A148" s="62"/>
      <c r="B148" s="63">
        <v>151.93167099999999</v>
      </c>
      <c r="C148" s="66"/>
      <c r="D148" s="66"/>
      <c r="E148" s="66"/>
      <c r="F148" s="66"/>
      <c r="G148" s="63"/>
      <c r="H148" s="66"/>
      <c r="I148" s="63"/>
      <c r="J148" s="66"/>
      <c r="K148" s="63"/>
      <c r="L148" s="66"/>
      <c r="M148" s="63"/>
      <c r="N148" s="66"/>
      <c r="O148" s="66"/>
      <c r="P148" s="66"/>
      <c r="Q148" s="66"/>
      <c r="R148" s="63"/>
      <c r="S148" s="66"/>
      <c r="T148" s="63"/>
      <c r="U148" s="66"/>
      <c r="X148" s="66"/>
      <c r="Y148" s="63"/>
      <c r="Z148" s="66"/>
      <c r="AA148" s="32"/>
      <c r="AC148" s="67">
        <v>43917</v>
      </c>
    </row>
    <row r="149" spans="1:29">
      <c r="A149" s="62"/>
      <c r="B149" s="63">
        <v>163.10209699999999</v>
      </c>
      <c r="C149" s="66"/>
      <c r="D149" s="66"/>
      <c r="E149" s="66"/>
      <c r="F149" s="66"/>
      <c r="G149" s="63"/>
      <c r="H149" s="66"/>
      <c r="I149" s="63"/>
      <c r="J149" s="66"/>
      <c r="K149" s="63"/>
      <c r="L149" s="66"/>
      <c r="M149" s="63"/>
      <c r="N149" s="66"/>
      <c r="O149" s="66"/>
      <c r="P149" s="66"/>
      <c r="Q149" s="66"/>
      <c r="R149" s="63"/>
      <c r="S149" s="66"/>
      <c r="T149" s="63"/>
      <c r="U149" s="66"/>
      <c r="X149" s="66"/>
      <c r="Y149" s="63"/>
      <c r="Z149" s="66"/>
      <c r="AA149" s="32"/>
      <c r="AC149" s="67">
        <v>43924</v>
      </c>
    </row>
    <row r="150" spans="1:29">
      <c r="A150" s="62"/>
      <c r="B150" s="63">
        <v>176.395996</v>
      </c>
      <c r="C150" s="66"/>
      <c r="D150" s="66"/>
      <c r="E150" s="66"/>
      <c r="F150" s="66"/>
      <c r="G150" s="63"/>
      <c r="H150" s="66"/>
      <c r="I150" s="63"/>
      <c r="J150" s="66"/>
      <c r="K150" s="63"/>
      <c r="L150" s="66"/>
      <c r="M150" s="63"/>
      <c r="N150" s="66"/>
      <c r="O150" s="66"/>
      <c r="P150" s="66"/>
      <c r="Q150" s="66"/>
      <c r="R150" s="63"/>
      <c r="S150" s="66"/>
      <c r="T150" s="63"/>
      <c r="U150" s="66"/>
      <c r="X150" s="66"/>
      <c r="Y150" s="63"/>
      <c r="Z150" s="66"/>
      <c r="AA150" s="32"/>
      <c r="AC150" s="67">
        <v>43931</v>
      </c>
    </row>
    <row r="151" spans="1:29">
      <c r="A151" s="62"/>
      <c r="B151" s="63">
        <v>172.39598100000001</v>
      </c>
      <c r="C151" s="66"/>
      <c r="D151" s="66"/>
      <c r="E151" s="66"/>
      <c r="F151" s="66"/>
      <c r="G151" s="63"/>
      <c r="H151" s="66"/>
      <c r="I151" s="63"/>
      <c r="J151" s="66"/>
      <c r="K151" s="63"/>
      <c r="L151" s="66"/>
      <c r="M151" s="63"/>
      <c r="N151" s="66"/>
      <c r="O151" s="66"/>
      <c r="P151" s="66"/>
      <c r="Q151" s="66"/>
      <c r="R151" s="63"/>
      <c r="S151" s="66"/>
      <c r="T151" s="63"/>
      <c r="U151" s="66"/>
      <c r="X151" s="66"/>
      <c r="Y151" s="63"/>
      <c r="Z151" s="66"/>
      <c r="AA151" s="32"/>
      <c r="AC151" s="67">
        <v>43938</v>
      </c>
    </row>
    <row r="152" spans="1:29">
      <c r="A152" s="62"/>
      <c r="B152" s="63">
        <v>172.415741</v>
      </c>
      <c r="C152" s="66"/>
      <c r="D152" s="66"/>
      <c r="E152" s="66"/>
      <c r="F152" s="66"/>
      <c r="G152" s="63"/>
      <c r="H152" s="66"/>
      <c r="I152" s="63"/>
      <c r="J152" s="66"/>
      <c r="K152" s="63"/>
      <c r="L152" s="66"/>
      <c r="M152" s="63"/>
      <c r="N152" s="66"/>
      <c r="O152" s="66"/>
      <c r="P152" s="66"/>
      <c r="Q152" s="66"/>
      <c r="R152" s="63"/>
      <c r="S152" s="66"/>
      <c r="T152" s="63"/>
      <c r="U152" s="66"/>
      <c r="X152" s="66"/>
      <c r="Y152" s="63"/>
      <c r="Z152" s="66"/>
      <c r="AA152" s="32"/>
      <c r="AC152" s="67">
        <v>43945</v>
      </c>
    </row>
    <row r="153" spans="1:29">
      <c r="A153" s="62"/>
      <c r="B153" s="63">
        <v>182.40097</v>
      </c>
      <c r="C153" s="66"/>
      <c r="D153" s="66"/>
      <c r="E153" s="66"/>
      <c r="F153" s="66"/>
      <c r="G153" s="63"/>
      <c r="H153" s="66"/>
      <c r="I153" s="63"/>
      <c r="J153" s="66"/>
      <c r="K153" s="63"/>
      <c r="L153" s="66"/>
      <c r="M153" s="63"/>
      <c r="N153" s="66"/>
      <c r="O153" s="66"/>
      <c r="P153" s="66"/>
      <c r="Q153" s="66"/>
      <c r="R153" s="63"/>
      <c r="S153" s="66"/>
      <c r="T153" s="63"/>
      <c r="U153" s="66"/>
      <c r="X153" s="66"/>
      <c r="Y153" s="63"/>
      <c r="Z153" s="66"/>
      <c r="AA153" s="32"/>
      <c r="AC153" s="67">
        <v>43952</v>
      </c>
    </row>
    <row r="154" spans="1:29">
      <c r="A154" s="62"/>
      <c r="B154" s="63">
        <v>180.89975000000001</v>
      </c>
      <c r="C154" s="66"/>
      <c r="D154" s="66"/>
      <c r="E154" s="66"/>
      <c r="F154" s="66"/>
      <c r="G154" s="63"/>
      <c r="H154" s="66"/>
      <c r="I154" s="63"/>
      <c r="J154" s="66"/>
      <c r="K154" s="63"/>
      <c r="L154" s="66"/>
      <c r="M154" s="63"/>
      <c r="N154" s="66"/>
      <c r="O154" s="66"/>
      <c r="P154" s="66"/>
      <c r="Q154" s="66"/>
      <c r="R154" s="63"/>
      <c r="S154" s="66"/>
      <c r="T154" s="63"/>
      <c r="U154" s="66"/>
      <c r="X154" s="66"/>
      <c r="Y154" s="63"/>
      <c r="Z154" s="66"/>
      <c r="AA154" s="32"/>
      <c r="AC154" s="67">
        <v>43959</v>
      </c>
    </row>
    <row r="155" spans="1:29">
      <c r="A155" s="62"/>
      <c r="B155" s="63">
        <v>181.245407</v>
      </c>
      <c r="C155" s="66"/>
      <c r="D155" s="66"/>
      <c r="E155" s="66"/>
      <c r="F155" s="66"/>
      <c r="G155" s="63"/>
      <c r="H155" s="66"/>
      <c r="I155" s="63"/>
      <c r="J155" s="66"/>
      <c r="K155" s="63"/>
      <c r="L155" s="66"/>
      <c r="M155" s="63"/>
      <c r="N155" s="66"/>
      <c r="O155" s="66"/>
      <c r="P155" s="66"/>
      <c r="Q155" s="66"/>
      <c r="R155" s="63"/>
      <c r="S155" s="66"/>
      <c r="T155" s="63"/>
      <c r="U155" s="66"/>
      <c r="X155" s="66"/>
      <c r="Y155" s="63"/>
      <c r="Z155" s="66"/>
      <c r="AA155" s="32"/>
      <c r="AC155" s="67">
        <v>43966</v>
      </c>
    </row>
    <row r="156" spans="1:29">
      <c r="A156" s="62"/>
      <c r="B156" s="63">
        <v>181.49269100000001</v>
      </c>
      <c r="C156" s="66"/>
      <c r="D156" s="66"/>
      <c r="E156" s="66"/>
      <c r="F156" s="66"/>
      <c r="G156" s="63"/>
      <c r="H156" s="66"/>
      <c r="I156" s="63"/>
      <c r="J156" s="66"/>
      <c r="K156" s="63"/>
      <c r="L156" s="66"/>
      <c r="M156" s="63"/>
      <c r="N156" s="66"/>
      <c r="O156" s="66"/>
      <c r="P156" s="66"/>
      <c r="Q156" s="66"/>
      <c r="R156" s="63"/>
      <c r="S156" s="66"/>
      <c r="T156" s="63"/>
      <c r="U156" s="66"/>
      <c r="X156" s="66"/>
      <c r="Y156" s="63"/>
      <c r="Z156" s="66"/>
      <c r="AA156" s="32"/>
      <c r="AC156" s="67">
        <v>43973</v>
      </c>
    </row>
    <row r="157" spans="1:29">
      <c r="A157" s="62"/>
      <c r="B157" s="63">
        <v>185.40479999999999</v>
      </c>
      <c r="C157" s="66"/>
      <c r="D157" s="66"/>
      <c r="E157" s="66"/>
      <c r="F157" s="66"/>
      <c r="G157" s="63"/>
      <c r="H157" s="66"/>
      <c r="I157" s="63"/>
      <c r="J157" s="66"/>
      <c r="K157" s="63"/>
      <c r="L157" s="66"/>
      <c r="M157" s="63"/>
      <c r="N157" s="66"/>
      <c r="O157" s="66"/>
      <c r="P157" s="66"/>
      <c r="Q157" s="66"/>
      <c r="R157" s="63"/>
      <c r="S157" s="66"/>
      <c r="T157" s="63"/>
      <c r="U157" s="66"/>
      <c r="X157" s="66"/>
      <c r="Y157" s="63"/>
      <c r="Z157" s="66"/>
      <c r="AA157" s="32"/>
      <c r="AC157" s="67">
        <v>43980</v>
      </c>
    </row>
    <row r="158" spans="1:29">
      <c r="A158" s="62"/>
      <c r="B158" s="63">
        <v>185.93962099999999</v>
      </c>
      <c r="C158" s="66"/>
      <c r="D158" s="66"/>
      <c r="E158" s="66"/>
      <c r="F158" s="66"/>
      <c r="G158" s="63"/>
      <c r="H158" s="66"/>
      <c r="I158" s="63"/>
      <c r="J158" s="66"/>
      <c r="K158" s="63"/>
      <c r="L158" s="66"/>
      <c r="M158" s="63"/>
      <c r="N158" s="66"/>
      <c r="O158" s="66"/>
      <c r="P158" s="66"/>
      <c r="Q158" s="66"/>
      <c r="R158" s="63"/>
      <c r="S158" s="66"/>
      <c r="T158" s="63"/>
      <c r="U158" s="66"/>
      <c r="X158" s="66"/>
      <c r="Y158" s="63"/>
      <c r="Z158" s="66"/>
      <c r="AA158" s="32"/>
      <c r="AC158" s="67">
        <v>43987</v>
      </c>
    </row>
    <row r="159" spans="1:29">
      <c r="A159" s="62"/>
      <c r="B159" s="63">
        <v>193.27856399999999</v>
      </c>
      <c r="C159" s="66"/>
      <c r="D159" s="66"/>
      <c r="E159" s="66"/>
      <c r="F159" s="66"/>
      <c r="G159" s="63"/>
      <c r="H159" s="66"/>
      <c r="I159" s="63"/>
      <c r="J159" s="66"/>
      <c r="K159" s="63"/>
      <c r="L159" s="66"/>
      <c r="M159" s="63"/>
      <c r="N159" s="66"/>
      <c r="O159" s="66"/>
      <c r="P159" s="66"/>
      <c r="Q159" s="66"/>
      <c r="R159" s="63"/>
      <c r="S159" s="66"/>
      <c r="T159" s="63"/>
      <c r="U159" s="66"/>
      <c r="X159" s="66"/>
      <c r="Y159" s="63"/>
      <c r="Z159" s="66"/>
      <c r="AA159" s="32"/>
      <c r="AC159" s="67">
        <v>43994</v>
      </c>
    </row>
    <row r="160" spans="1:29">
      <c r="A160" s="62"/>
      <c r="B160" s="63">
        <v>194.44723500000001</v>
      </c>
      <c r="C160" s="66"/>
      <c r="D160" s="66"/>
      <c r="E160" s="66"/>
      <c r="F160" s="66"/>
      <c r="G160" s="63"/>
      <c r="H160" s="66"/>
      <c r="I160" s="63"/>
      <c r="J160" s="66"/>
      <c r="K160" s="63"/>
      <c r="L160" s="66"/>
      <c r="M160" s="63"/>
      <c r="N160" s="66"/>
      <c r="O160" s="66"/>
      <c r="P160" s="66"/>
      <c r="Q160" s="66"/>
      <c r="R160" s="63"/>
      <c r="S160" s="66"/>
      <c r="T160" s="63"/>
      <c r="U160" s="66"/>
      <c r="V160" s="26"/>
      <c r="W160" s="63"/>
      <c r="X160" s="66"/>
      <c r="Y160" s="63"/>
      <c r="Z160" s="66"/>
      <c r="AA160" s="32"/>
      <c r="AC160" s="67">
        <v>44001</v>
      </c>
    </row>
    <row r="161" spans="1:29">
      <c r="A161" s="62"/>
      <c r="B161" s="63">
        <v>204.28201300000001</v>
      </c>
      <c r="C161" s="66"/>
      <c r="D161" s="66"/>
      <c r="E161" s="66"/>
      <c r="F161" s="66"/>
      <c r="G161" s="63"/>
      <c r="H161" s="66"/>
      <c r="I161" s="63"/>
      <c r="J161" s="66"/>
      <c r="K161" s="63"/>
      <c r="L161" s="66"/>
      <c r="M161" s="63"/>
      <c r="N161" s="66"/>
      <c r="O161" s="66"/>
      <c r="P161" s="66"/>
      <c r="Q161" s="66"/>
      <c r="R161" s="63"/>
      <c r="S161" s="66"/>
      <c r="T161" s="63"/>
      <c r="U161" s="66"/>
      <c r="V161" s="26"/>
      <c r="W161" s="63"/>
      <c r="X161" s="66"/>
      <c r="Y161" s="63"/>
      <c r="Z161" s="66"/>
      <c r="AA161" s="32"/>
      <c r="AC161" s="67">
        <v>44008</v>
      </c>
    </row>
    <row r="162" spans="1:29">
      <c r="A162" s="62"/>
      <c r="B162" s="63">
        <v>211.62097199999999</v>
      </c>
      <c r="C162" s="66"/>
      <c r="D162" s="66"/>
      <c r="E162" s="66"/>
      <c r="F162" s="66"/>
      <c r="G162" s="63"/>
      <c r="H162" s="66"/>
      <c r="I162" s="63"/>
      <c r="J162" s="66"/>
      <c r="K162" s="63"/>
      <c r="L162" s="66"/>
      <c r="M162" s="63"/>
      <c r="N162" s="66"/>
      <c r="O162" s="66"/>
      <c r="P162" s="66"/>
      <c r="Q162" s="66"/>
      <c r="R162" s="63"/>
      <c r="S162" s="66"/>
      <c r="T162" s="63"/>
      <c r="U162" s="66"/>
      <c r="V162" s="26"/>
      <c r="W162" s="63"/>
      <c r="X162" s="66"/>
      <c r="Y162" s="63"/>
      <c r="Z162" s="66"/>
      <c r="AA162" s="32"/>
      <c r="AC162" s="67">
        <v>44015</v>
      </c>
    </row>
    <row r="163" spans="1:29">
      <c r="A163" s="62"/>
      <c r="B163" s="63">
        <v>200.934448</v>
      </c>
      <c r="C163" s="66"/>
      <c r="D163" s="66"/>
      <c r="E163" s="66"/>
      <c r="F163" s="66"/>
      <c r="G163" s="63"/>
      <c r="H163" s="66"/>
      <c r="I163" s="63"/>
      <c r="J163" s="66"/>
      <c r="K163" s="63"/>
      <c r="L163" s="66"/>
      <c r="M163" s="63"/>
      <c r="N163" s="66"/>
      <c r="O163" s="66"/>
      <c r="P163" s="66"/>
      <c r="Q163" s="66"/>
      <c r="R163" s="63"/>
      <c r="S163" s="66"/>
      <c r="T163" s="63"/>
      <c r="U163" s="66"/>
      <c r="V163" s="26"/>
      <c r="W163" s="63"/>
      <c r="X163" s="66"/>
      <c r="Y163" s="63"/>
      <c r="Z163" s="66"/>
      <c r="AA163" s="32"/>
      <c r="AC163" s="67">
        <v>44022</v>
      </c>
    </row>
    <row r="164" spans="1:29">
      <c r="A164" s="62"/>
      <c r="B164" s="63">
        <v>199.369598</v>
      </c>
      <c r="C164" s="66"/>
      <c r="D164" s="66"/>
      <c r="E164" s="66"/>
      <c r="F164" s="66"/>
      <c r="G164" s="63"/>
      <c r="H164" s="66"/>
      <c r="I164" s="63"/>
      <c r="J164" s="66"/>
      <c r="K164" s="63"/>
      <c r="L164" s="66"/>
      <c r="M164" s="63"/>
      <c r="N164" s="66"/>
      <c r="O164" s="66"/>
      <c r="P164" s="66"/>
      <c r="Q164" s="66"/>
      <c r="R164" s="63"/>
      <c r="S164" s="66"/>
      <c r="T164" s="63"/>
      <c r="U164" s="66"/>
      <c r="V164" s="26"/>
      <c r="W164" s="63"/>
      <c r="X164" s="66"/>
      <c r="Y164" s="63"/>
      <c r="Z164" s="66"/>
      <c r="AA164" s="32"/>
      <c r="AC164" s="67">
        <v>44029</v>
      </c>
    </row>
    <row r="165" spans="1:29">
      <c r="A165" s="62"/>
      <c r="B165" s="63">
        <v>203.044006</v>
      </c>
      <c r="C165" s="66"/>
      <c r="D165" s="66"/>
      <c r="E165" s="66"/>
      <c r="F165" s="66"/>
      <c r="G165" s="63"/>
      <c r="H165" s="66"/>
      <c r="I165" s="63"/>
      <c r="J165" s="66"/>
      <c r="K165" s="63"/>
      <c r="L165" s="66"/>
      <c r="M165" s="63"/>
      <c r="N165" s="66"/>
      <c r="O165" s="66"/>
      <c r="P165" s="66"/>
      <c r="Q165" s="66"/>
      <c r="R165" s="63"/>
      <c r="S165" s="66"/>
      <c r="T165" s="63"/>
      <c r="U165" s="66"/>
      <c r="V165" s="26"/>
      <c r="W165" s="63"/>
      <c r="X165" s="66"/>
      <c r="Y165" s="63"/>
      <c r="Z165" s="66"/>
      <c r="AA165" s="32"/>
      <c r="AC165" s="67">
        <v>44036</v>
      </c>
    </row>
    <row r="166" spans="1:29">
      <c r="A166" s="62"/>
      <c r="B166" s="63">
        <v>210.44236799999999</v>
      </c>
      <c r="C166" s="66"/>
      <c r="D166" s="66"/>
      <c r="E166" s="66"/>
      <c r="F166" s="66"/>
      <c r="G166" s="63"/>
      <c r="H166" s="66"/>
      <c r="I166" s="63"/>
      <c r="J166" s="66"/>
      <c r="K166" s="63"/>
      <c r="L166" s="66"/>
      <c r="M166" s="63"/>
      <c r="N166" s="66"/>
      <c r="O166" s="66"/>
      <c r="P166" s="66"/>
      <c r="Q166" s="66"/>
      <c r="R166" s="63"/>
      <c r="S166" s="66"/>
      <c r="T166" s="63"/>
      <c r="U166" s="66"/>
      <c r="V166" s="26"/>
      <c r="W166" s="63"/>
      <c r="X166" s="66"/>
      <c r="Y166" s="63"/>
      <c r="Z166" s="66"/>
      <c r="AA166" s="32"/>
      <c r="AC166" s="67">
        <v>44043</v>
      </c>
    </row>
    <row r="167" spans="1:29">
      <c r="A167" s="62"/>
      <c r="B167" s="63">
        <v>206.89669799999999</v>
      </c>
      <c r="C167" s="66"/>
      <c r="D167" s="66"/>
      <c r="E167" s="66"/>
      <c r="F167" s="66"/>
      <c r="G167" s="63"/>
      <c r="H167" s="66"/>
      <c r="I167" s="63"/>
      <c r="J167" s="66"/>
      <c r="K167" s="63"/>
      <c r="L167" s="66"/>
      <c r="M167" s="63"/>
      <c r="N167" s="66"/>
      <c r="O167" s="66"/>
      <c r="P167" s="66"/>
      <c r="Q167" s="66"/>
      <c r="R167" s="63"/>
      <c r="S167" s="66"/>
      <c r="T167" s="63"/>
      <c r="U167" s="66"/>
      <c r="V167" s="26"/>
      <c r="W167" s="63"/>
      <c r="X167" s="66"/>
      <c r="Y167" s="63"/>
      <c r="Z167" s="66"/>
      <c r="AA167" s="32"/>
      <c r="AC167" s="67">
        <v>44050</v>
      </c>
    </row>
    <row r="168" spans="1:29">
      <c r="A168" s="62"/>
      <c r="B168" s="63">
        <v>210.977203</v>
      </c>
      <c r="C168" s="66"/>
      <c r="D168" s="66"/>
      <c r="E168" s="66"/>
      <c r="F168" s="66"/>
      <c r="G168" s="63"/>
      <c r="H168" s="66"/>
      <c r="I168" s="63"/>
      <c r="J168" s="66"/>
      <c r="K168" s="63"/>
      <c r="L168" s="66"/>
      <c r="M168" s="63"/>
      <c r="N168" s="66"/>
      <c r="O168" s="66"/>
      <c r="P168" s="66"/>
      <c r="Q168" s="66"/>
      <c r="R168" s="63"/>
      <c r="S168" s="66"/>
      <c r="T168" s="63"/>
      <c r="U168" s="66"/>
      <c r="V168" s="26"/>
      <c r="W168" s="63"/>
      <c r="X168" s="66"/>
      <c r="Y168" s="63"/>
      <c r="Z168" s="66"/>
      <c r="AA168" s="32"/>
      <c r="AC168" s="67">
        <v>44057</v>
      </c>
    </row>
    <row r="169" spans="1:29">
      <c r="A169" s="62"/>
      <c r="B169" s="63">
        <v>227.26286300000001</v>
      </c>
      <c r="C169" s="66"/>
      <c r="D169" s="66"/>
      <c r="E169" s="66"/>
      <c r="F169" s="66"/>
      <c r="G169" s="63"/>
      <c r="H169" s="66"/>
      <c r="I169" s="63"/>
      <c r="J169" s="66"/>
      <c r="K169" s="63"/>
      <c r="L169" s="66"/>
      <c r="M169" s="63"/>
      <c r="N169" s="66"/>
      <c r="O169" s="66"/>
      <c r="P169" s="66"/>
      <c r="Q169" s="66"/>
      <c r="R169" s="63"/>
      <c r="S169" s="66"/>
      <c r="T169" s="63"/>
      <c r="U169" s="66"/>
      <c r="V169" s="3"/>
      <c r="W169" s="63"/>
      <c r="X169" s="66"/>
      <c r="Y169" s="63"/>
      <c r="Z169" s="66"/>
      <c r="AA169" s="32"/>
      <c r="AC169" s="67">
        <v>44064</v>
      </c>
    </row>
    <row r="170" spans="1:29">
      <c r="A170" s="62"/>
      <c r="B170" s="63">
        <v>212.708359</v>
      </c>
      <c r="C170" s="66"/>
      <c r="D170" s="66"/>
      <c r="E170" s="66"/>
      <c r="F170" s="66"/>
      <c r="G170" s="63"/>
      <c r="H170" s="66"/>
      <c r="I170" s="63"/>
      <c r="J170" s="66"/>
      <c r="K170" s="63"/>
      <c r="L170" s="66"/>
      <c r="M170" s="63"/>
      <c r="N170" s="66"/>
      <c r="O170" s="66"/>
      <c r="P170" s="66"/>
      <c r="Q170" s="66"/>
      <c r="R170" s="63"/>
      <c r="S170" s="66"/>
      <c r="T170" s="63"/>
      <c r="U170" s="66"/>
      <c r="V170" s="3"/>
      <c r="W170" s="63"/>
      <c r="X170" s="66"/>
      <c r="Y170" s="63"/>
      <c r="Z170" s="66"/>
      <c r="AA170" s="32"/>
      <c r="AC170" s="67">
        <v>44071</v>
      </c>
    </row>
    <row r="171" spans="1:29">
      <c r="A171" s="62"/>
      <c r="B171" s="63">
        <v>202.56189000000001</v>
      </c>
      <c r="C171" s="66"/>
      <c r="D171" s="66"/>
      <c r="E171" s="66"/>
      <c r="F171" s="66"/>
      <c r="G171" s="63"/>
      <c r="H171" s="66"/>
      <c r="I171" s="63"/>
      <c r="J171" s="66"/>
      <c r="K171" s="63"/>
      <c r="L171" s="66"/>
      <c r="M171" s="63"/>
      <c r="N171" s="66"/>
      <c r="O171" s="66"/>
      <c r="P171" s="66"/>
      <c r="Q171" s="66"/>
      <c r="R171" s="63"/>
      <c r="S171" s="66"/>
      <c r="T171" s="63"/>
      <c r="U171" s="66"/>
      <c r="V171" s="3"/>
      <c r="W171" s="63"/>
      <c r="X171" s="66"/>
      <c r="Y171" s="63"/>
      <c r="Z171" s="66"/>
      <c r="AA171" s="32"/>
      <c r="AC171" s="67">
        <v>44078</v>
      </c>
    </row>
    <row r="172" spans="1:29">
      <c r="A172" s="62"/>
      <c r="B172" s="63">
        <v>198.94807399999999</v>
      </c>
      <c r="C172" s="66"/>
      <c r="D172" s="66"/>
      <c r="E172" s="66"/>
      <c r="F172" s="66"/>
      <c r="G172" s="63"/>
      <c r="H172" s="66"/>
      <c r="I172" s="63"/>
      <c r="J172" s="66"/>
      <c r="K172" s="63"/>
      <c r="L172" s="66"/>
      <c r="M172" s="63"/>
      <c r="N172" s="66"/>
      <c r="O172" s="66"/>
      <c r="P172" s="66"/>
      <c r="Q172" s="66"/>
      <c r="R172" s="63"/>
      <c r="S172" s="66"/>
      <c r="T172" s="63"/>
      <c r="U172" s="66"/>
      <c r="V172" s="3"/>
      <c r="W172" s="63"/>
      <c r="X172" s="66"/>
      <c r="Y172" s="63"/>
      <c r="Z172" s="66"/>
      <c r="AA172" s="32"/>
      <c r="AC172" s="67">
        <v>44085</v>
      </c>
    </row>
    <row r="173" spans="1:29">
      <c r="A173" s="62"/>
      <c r="B173" s="63">
        <v>206.32461499999999</v>
      </c>
      <c r="C173" s="66"/>
      <c r="D173" s="66"/>
      <c r="E173" s="66"/>
      <c r="F173" s="66"/>
      <c r="G173" s="63"/>
      <c r="H173" s="66"/>
      <c r="I173" s="63"/>
      <c r="J173" s="66"/>
      <c r="K173" s="63"/>
      <c r="L173" s="66"/>
      <c r="M173" s="63"/>
      <c r="N173" s="66"/>
      <c r="O173" s="66"/>
      <c r="P173" s="66"/>
      <c r="Q173" s="66"/>
      <c r="R173" s="63"/>
      <c r="S173" s="66"/>
      <c r="T173" s="63"/>
      <c r="U173" s="66"/>
      <c r="V173" s="3"/>
      <c r="W173" s="63"/>
      <c r="X173" s="66"/>
      <c r="Y173" s="63"/>
      <c r="Z173" s="66"/>
      <c r="AA173" s="32"/>
      <c r="AC173" s="67">
        <v>44092</v>
      </c>
    </row>
    <row r="174" spans="1:29">
      <c r="A174" s="62"/>
      <c r="B174" s="63">
        <v>204.70635999999999</v>
      </c>
      <c r="C174" s="66"/>
      <c r="D174" s="66"/>
      <c r="E174" s="66"/>
      <c r="F174" s="66"/>
      <c r="G174" s="63"/>
      <c r="H174" s="66"/>
      <c r="I174" s="63"/>
      <c r="J174" s="66"/>
      <c r="K174" s="63"/>
      <c r="L174" s="66"/>
      <c r="M174" s="63"/>
      <c r="N174" s="66"/>
      <c r="O174" s="66"/>
      <c r="P174" s="66"/>
      <c r="Q174" s="66"/>
      <c r="R174" s="63"/>
      <c r="S174" s="66"/>
      <c r="T174" s="63"/>
      <c r="U174" s="66"/>
      <c r="V174" s="3"/>
      <c r="W174" s="63"/>
      <c r="X174" s="66"/>
      <c r="Y174" s="63"/>
      <c r="Z174" s="66"/>
      <c r="AA174" s="32"/>
      <c r="AC174" s="67">
        <v>44099</v>
      </c>
    </row>
    <row r="175" spans="1:29">
      <c r="A175" s="62"/>
      <c r="B175" s="63">
        <v>214.257126</v>
      </c>
      <c r="C175" s="66"/>
      <c r="D175" s="66"/>
      <c r="E175" s="66"/>
      <c r="F175" s="66"/>
      <c r="G175" s="63"/>
      <c r="H175" s="66"/>
      <c r="I175" s="63"/>
      <c r="J175" s="66"/>
      <c r="K175" s="63"/>
      <c r="L175" s="66"/>
      <c r="M175" s="63"/>
      <c r="N175" s="66"/>
      <c r="O175" s="66"/>
      <c r="P175" s="66"/>
      <c r="Q175" s="66"/>
      <c r="R175" s="63"/>
      <c r="S175" s="66"/>
      <c r="T175" s="63"/>
      <c r="U175" s="66"/>
      <c r="V175" s="3"/>
      <c r="W175" s="63"/>
      <c r="X175" s="66"/>
      <c r="Y175" s="63"/>
      <c r="Z175" s="66"/>
      <c r="AA175" s="32"/>
      <c r="AC175" s="67">
        <v>44106</v>
      </c>
    </row>
    <row r="176" spans="1:29">
      <c r="A176" s="62"/>
      <c r="B176" s="63">
        <v>218.07942199999999</v>
      </c>
      <c r="C176" s="66"/>
      <c r="D176" s="66"/>
      <c r="E176" s="66"/>
      <c r="F176" s="66"/>
      <c r="G176" s="63"/>
      <c r="H176" s="66"/>
      <c r="I176" s="63"/>
      <c r="J176" s="66"/>
      <c r="K176" s="63"/>
      <c r="L176" s="66"/>
      <c r="M176" s="63"/>
      <c r="N176" s="66"/>
      <c r="O176" s="66"/>
      <c r="P176" s="66"/>
      <c r="Q176" s="66"/>
      <c r="R176" s="63"/>
      <c r="S176" s="66"/>
      <c r="T176" s="63"/>
      <c r="U176" s="66"/>
      <c r="V176" s="3"/>
      <c r="W176" s="63"/>
      <c r="X176" s="66"/>
      <c r="Y176" s="63"/>
      <c r="Z176" s="66"/>
      <c r="AA176" s="32"/>
      <c r="AC176" s="67">
        <v>44113</v>
      </c>
    </row>
    <row r="177" spans="1:29">
      <c r="A177" s="62"/>
      <c r="B177" s="63">
        <v>214.674103</v>
      </c>
      <c r="C177" s="66"/>
      <c r="D177" s="66"/>
      <c r="E177" s="66"/>
      <c r="F177" s="66"/>
      <c r="G177" s="63"/>
      <c r="H177" s="66"/>
      <c r="I177" s="63"/>
      <c r="J177" s="66"/>
      <c r="K177" s="63"/>
      <c r="L177" s="66"/>
      <c r="M177" s="63"/>
      <c r="N177" s="66"/>
      <c r="O177" s="66"/>
      <c r="P177" s="66"/>
      <c r="Q177" s="66"/>
      <c r="R177" s="63"/>
      <c r="S177" s="66"/>
      <c r="T177" s="63"/>
      <c r="U177" s="66"/>
      <c r="V177" s="3"/>
      <c r="W177" s="63"/>
      <c r="X177" s="66"/>
      <c r="Y177" s="63"/>
      <c r="Z177" s="66"/>
      <c r="AA177" s="32"/>
      <c r="AC177" s="67">
        <v>44120</v>
      </c>
    </row>
    <row r="178" spans="1:29">
      <c r="A178" s="62"/>
      <c r="B178" s="63">
        <v>201.01312300000001</v>
      </c>
      <c r="C178" s="66"/>
      <c r="D178" s="66"/>
      <c r="E178" s="66"/>
      <c r="F178" s="66"/>
      <c r="G178" s="63"/>
      <c r="H178" s="66"/>
      <c r="I178" s="63"/>
      <c r="J178" s="66"/>
      <c r="K178" s="63"/>
      <c r="L178" s="66"/>
      <c r="M178" s="63"/>
      <c r="N178" s="66"/>
      <c r="O178" s="66"/>
      <c r="P178" s="66"/>
      <c r="Q178" s="66"/>
      <c r="R178" s="63"/>
      <c r="S178" s="66"/>
      <c r="T178" s="63"/>
      <c r="U178" s="66"/>
      <c r="V178" s="3"/>
      <c r="W178" s="63"/>
      <c r="X178" s="66"/>
      <c r="Y178" s="63"/>
      <c r="Z178" s="66"/>
      <c r="AA178" s="32"/>
      <c r="AC178" s="67">
        <v>44127</v>
      </c>
    </row>
    <row r="179" spans="1:29">
      <c r="A179" s="62"/>
      <c r="B179" s="63">
        <v>222.11021400000001</v>
      </c>
      <c r="C179" s="66"/>
      <c r="D179" s="66"/>
      <c r="E179" s="66"/>
      <c r="F179" s="66"/>
      <c r="G179" s="63"/>
      <c r="H179" s="66"/>
      <c r="I179" s="63"/>
      <c r="J179" s="66"/>
      <c r="K179" s="63"/>
      <c r="L179" s="66"/>
      <c r="M179" s="63"/>
      <c r="N179" s="66"/>
      <c r="O179" s="66"/>
      <c r="P179" s="66"/>
      <c r="Q179" s="66"/>
      <c r="R179" s="63"/>
      <c r="S179" s="66"/>
      <c r="T179" s="63"/>
      <c r="U179" s="66"/>
      <c r="V179" s="3"/>
      <c r="W179" s="63"/>
      <c r="X179" s="66"/>
      <c r="Y179" s="63"/>
      <c r="Z179" s="66"/>
      <c r="AA179" s="32"/>
      <c r="AC179" s="67">
        <v>44134</v>
      </c>
    </row>
    <row r="180" spans="1:29">
      <c r="A180" s="62"/>
      <c r="B180" s="63">
        <v>214.95208700000001</v>
      </c>
      <c r="C180" s="66"/>
      <c r="D180" s="66"/>
      <c r="E180" s="66"/>
      <c r="F180" s="66"/>
      <c r="G180" s="63"/>
      <c r="H180" s="66"/>
      <c r="I180" s="63"/>
      <c r="J180" s="66"/>
      <c r="K180" s="63"/>
      <c r="L180" s="66"/>
      <c r="M180" s="63"/>
      <c r="N180" s="66"/>
      <c r="O180" s="66"/>
      <c r="P180" s="66"/>
      <c r="Q180" s="66"/>
      <c r="R180" s="63"/>
      <c r="S180" s="66"/>
      <c r="T180" s="63"/>
      <c r="U180" s="66"/>
      <c r="V180" s="3"/>
      <c r="W180" s="63"/>
      <c r="X180" s="66"/>
      <c r="Y180" s="63"/>
      <c r="Z180" s="66"/>
      <c r="AA180" s="32"/>
      <c r="AC180" s="67">
        <v>44141</v>
      </c>
    </row>
    <row r="181" spans="1:29">
      <c r="A181" s="62"/>
      <c r="B181" s="63">
        <v>208.876114</v>
      </c>
      <c r="C181" s="66"/>
      <c r="D181" s="66"/>
      <c r="E181" s="66"/>
      <c r="F181" s="66"/>
      <c r="G181" s="63"/>
      <c r="H181" s="66"/>
      <c r="I181" s="63"/>
      <c r="J181" s="66"/>
      <c r="K181" s="63"/>
      <c r="L181" s="66"/>
      <c r="M181" s="63"/>
      <c r="N181" s="66"/>
      <c r="O181" s="66"/>
      <c r="P181" s="66"/>
      <c r="Q181" s="66"/>
      <c r="R181" s="63"/>
      <c r="S181" s="66"/>
      <c r="T181" s="63"/>
      <c r="U181" s="66"/>
      <c r="V181" s="3"/>
      <c r="W181" s="63"/>
      <c r="X181" s="66"/>
      <c r="Y181" s="63"/>
      <c r="Z181" s="66"/>
      <c r="AA181" s="32"/>
      <c r="AC181" s="67">
        <v>44148</v>
      </c>
    </row>
    <row r="182" spans="1:29">
      <c r="A182" s="62"/>
      <c r="B182" s="63">
        <v>214.24070699999999</v>
      </c>
      <c r="C182" s="66"/>
      <c r="D182" s="66"/>
      <c r="E182" s="66"/>
      <c r="F182" s="66"/>
      <c r="G182" s="63"/>
      <c r="H182" s="66"/>
      <c r="I182" s="63"/>
      <c r="J182" s="66"/>
      <c r="K182" s="63"/>
      <c r="L182" s="66"/>
      <c r="M182" s="63"/>
      <c r="N182" s="66"/>
      <c r="O182" s="66"/>
      <c r="P182" s="66"/>
      <c r="Q182" s="66"/>
      <c r="R182" s="63"/>
      <c r="S182" s="66"/>
      <c r="T182" s="63"/>
      <c r="U182" s="66"/>
      <c r="V182" s="3"/>
      <c r="W182" s="63"/>
      <c r="X182" s="66"/>
      <c r="Y182" s="63"/>
      <c r="Z182" s="66"/>
      <c r="AA182" s="32"/>
      <c r="AC182" s="67">
        <v>44155</v>
      </c>
    </row>
    <row r="183" spans="1:29">
      <c r="A183" s="62"/>
      <c r="B183" s="63">
        <v>213.37472500000001</v>
      </c>
      <c r="C183" s="66"/>
      <c r="D183" s="66"/>
      <c r="E183" s="66"/>
      <c r="F183" s="66"/>
      <c r="G183" s="63"/>
      <c r="H183" s="66"/>
      <c r="I183" s="63"/>
      <c r="J183" s="66"/>
      <c r="K183" s="63"/>
      <c r="L183" s="66"/>
      <c r="M183" s="63"/>
      <c r="N183" s="66"/>
      <c r="O183" s="66"/>
      <c r="P183" s="66"/>
      <c r="Q183" s="66"/>
      <c r="R183" s="63"/>
      <c r="S183" s="66"/>
      <c r="T183" s="63"/>
      <c r="U183" s="66"/>
      <c r="V183" s="3"/>
      <c r="W183" s="63"/>
      <c r="X183" s="66"/>
      <c r="Y183" s="63"/>
      <c r="Z183" s="66"/>
      <c r="AA183" s="32"/>
      <c r="AC183" s="67">
        <v>44162</v>
      </c>
    </row>
    <row r="184" spans="1:29">
      <c r="A184" s="62"/>
      <c r="B184" s="63">
        <v>212.27977000000001</v>
      </c>
      <c r="C184" s="66"/>
      <c r="D184" s="66"/>
      <c r="E184" s="66"/>
      <c r="F184" s="66"/>
      <c r="G184" s="63"/>
      <c r="H184" s="66"/>
      <c r="I184" s="63"/>
      <c r="J184" s="66"/>
      <c r="K184" s="63"/>
      <c r="L184" s="66"/>
      <c r="M184" s="63"/>
      <c r="N184" s="66"/>
      <c r="O184" s="66"/>
      <c r="P184" s="66"/>
      <c r="Q184" s="66"/>
      <c r="R184" s="63"/>
      <c r="S184" s="66"/>
      <c r="T184" s="63"/>
      <c r="U184" s="66"/>
      <c r="V184" s="3"/>
      <c r="W184" s="63"/>
      <c r="X184" s="66"/>
      <c r="Y184" s="63"/>
      <c r="Z184" s="66"/>
      <c r="AA184" s="32"/>
      <c r="AC184" s="67">
        <v>44169</v>
      </c>
    </row>
    <row r="185" spans="1:29">
      <c r="A185" s="62"/>
      <c r="B185" s="63">
        <v>217.58528100000001</v>
      </c>
      <c r="C185" s="66"/>
      <c r="D185" s="66"/>
      <c r="E185" s="66"/>
      <c r="F185" s="66"/>
      <c r="G185" s="63"/>
      <c r="H185" s="66"/>
      <c r="I185" s="63"/>
      <c r="J185" s="66"/>
      <c r="K185" s="63"/>
      <c r="L185" s="66"/>
      <c r="M185" s="63"/>
      <c r="N185" s="66"/>
      <c r="O185" s="66"/>
      <c r="P185" s="66"/>
      <c r="Q185" s="66"/>
      <c r="R185" s="63"/>
      <c r="S185" s="66"/>
      <c r="T185" s="63"/>
      <c r="U185" s="66"/>
      <c r="V185" s="3"/>
      <c r="W185" s="63"/>
      <c r="X185" s="66"/>
      <c r="Y185" s="63"/>
      <c r="Z185" s="66"/>
      <c r="AA185" s="32"/>
      <c r="AC185" s="67">
        <v>44176</v>
      </c>
    </row>
    <row r="186" spans="1:29">
      <c r="A186" s="62"/>
      <c r="B186" s="63">
        <v>221.72616600000001</v>
      </c>
      <c r="C186" s="66"/>
      <c r="D186" s="66"/>
      <c r="E186" s="66"/>
      <c r="F186" s="66"/>
      <c r="G186" s="63"/>
      <c r="H186" s="66"/>
      <c r="I186" s="63"/>
      <c r="J186" s="66"/>
      <c r="K186" s="63"/>
      <c r="L186" s="66"/>
      <c r="M186" s="63"/>
      <c r="N186" s="66"/>
      <c r="O186" s="66"/>
      <c r="P186" s="66"/>
      <c r="Q186" s="66"/>
      <c r="R186" s="63"/>
      <c r="S186" s="66"/>
      <c r="T186" s="63"/>
      <c r="U186" s="66"/>
      <c r="V186" s="3"/>
      <c r="W186" s="63"/>
      <c r="X186" s="66"/>
      <c r="Y186" s="63"/>
      <c r="Z186" s="66"/>
      <c r="AA186" s="32"/>
      <c r="AC186" s="67">
        <v>44183</v>
      </c>
    </row>
    <row r="187" spans="1:29">
      <c r="A187" s="62"/>
      <c r="B187" s="63">
        <v>221.39767499999999</v>
      </c>
      <c r="C187" s="66"/>
      <c r="D187" s="66"/>
      <c r="E187" s="66"/>
      <c r="F187" s="66"/>
      <c r="G187" s="63"/>
      <c r="H187" s="66"/>
      <c r="I187" s="63"/>
      <c r="J187" s="66"/>
      <c r="K187" s="63"/>
      <c r="L187" s="66"/>
      <c r="M187" s="63"/>
      <c r="N187" s="66"/>
      <c r="O187" s="66"/>
      <c r="P187" s="66"/>
      <c r="Q187" s="66"/>
      <c r="R187" s="63"/>
      <c r="S187" s="66"/>
      <c r="T187" s="63"/>
      <c r="U187" s="66"/>
      <c r="V187" s="3"/>
      <c r="W187" s="63"/>
      <c r="X187" s="66"/>
      <c r="Y187" s="63"/>
      <c r="Z187" s="66"/>
      <c r="AA187" s="32"/>
      <c r="AC187" s="67">
        <v>44190</v>
      </c>
    </row>
    <row r="188" spans="1:29">
      <c r="A188" s="62"/>
      <c r="B188" s="63">
        <v>218.61054999999999</v>
      </c>
      <c r="C188" s="66"/>
      <c r="D188" s="66"/>
      <c r="E188" s="66"/>
      <c r="F188" s="66"/>
      <c r="G188" s="63"/>
      <c r="H188" s="66"/>
      <c r="I188" s="63"/>
      <c r="J188" s="66"/>
      <c r="K188" s="63"/>
      <c r="L188" s="66"/>
      <c r="M188" s="63"/>
      <c r="N188" s="66"/>
      <c r="O188" s="66"/>
      <c r="P188" s="66"/>
      <c r="Q188" s="66"/>
      <c r="R188" s="63"/>
      <c r="S188" s="66"/>
      <c r="T188" s="63"/>
      <c r="U188" s="66"/>
      <c r="V188" s="3"/>
      <c r="W188" s="63"/>
      <c r="X188" s="66"/>
      <c r="Y188" s="63"/>
      <c r="Z188" s="66"/>
      <c r="AA188" s="32"/>
      <c r="AC188" s="67">
        <v>44197</v>
      </c>
    </row>
    <row r="189" spans="1:29">
      <c r="A189" s="62"/>
      <c r="B189" s="63">
        <v>211.67257699999999</v>
      </c>
      <c r="C189" s="66"/>
      <c r="D189" s="66"/>
      <c r="E189" s="66"/>
      <c r="F189" s="66"/>
      <c r="G189" s="63"/>
      <c r="H189" s="66"/>
      <c r="I189" s="63"/>
      <c r="J189" s="66"/>
      <c r="K189" s="63"/>
      <c r="L189" s="66"/>
      <c r="M189" s="63"/>
      <c r="N189" s="66"/>
      <c r="O189" s="66"/>
      <c r="P189" s="66"/>
      <c r="Q189" s="66"/>
      <c r="R189" s="63"/>
      <c r="S189" s="66"/>
      <c r="T189" s="63"/>
      <c r="U189" s="66"/>
      <c r="V189" s="3"/>
      <c r="W189" s="63"/>
      <c r="X189" s="66"/>
      <c r="Y189" s="63"/>
      <c r="Z189" s="66"/>
      <c r="AA189" s="32"/>
      <c r="AC189" s="67">
        <v>44204</v>
      </c>
    </row>
    <row r="190" spans="1:29">
      <c r="A190" s="62"/>
      <c r="B190" s="63">
        <v>224.91145299999999</v>
      </c>
      <c r="C190" s="66"/>
      <c r="D190" s="66"/>
      <c r="E190" s="66"/>
      <c r="F190" s="66"/>
      <c r="G190" s="63"/>
      <c r="H190" s="66"/>
      <c r="I190" s="63"/>
      <c r="J190" s="66"/>
      <c r="K190" s="63"/>
      <c r="L190" s="66"/>
      <c r="M190" s="63"/>
      <c r="N190" s="66"/>
      <c r="O190" s="66"/>
      <c r="P190" s="66"/>
      <c r="Q190" s="66"/>
      <c r="R190" s="63"/>
      <c r="S190" s="66"/>
      <c r="T190" s="63"/>
      <c r="U190" s="66"/>
      <c r="V190" s="3"/>
      <c r="W190" s="63"/>
      <c r="X190" s="66"/>
      <c r="Y190" s="63"/>
      <c r="Z190" s="66"/>
      <c r="AA190" s="32"/>
      <c r="AC190" s="67">
        <v>44211</v>
      </c>
    </row>
    <row r="191" spans="1:29">
      <c r="A191" s="62"/>
      <c r="B191" s="63">
        <v>230.893845</v>
      </c>
      <c r="C191" s="66"/>
      <c r="D191" s="66"/>
      <c r="E191" s="66"/>
      <c r="F191" s="66"/>
      <c r="G191" s="63"/>
      <c r="H191" s="66"/>
      <c r="I191" s="63"/>
      <c r="J191" s="66"/>
      <c r="K191" s="63"/>
      <c r="L191" s="66"/>
      <c r="M191" s="63"/>
      <c r="N191" s="66"/>
      <c r="O191" s="66"/>
      <c r="P191" s="66"/>
      <c r="Q191" s="66"/>
      <c r="R191" s="63"/>
      <c r="S191" s="66"/>
      <c r="T191" s="63"/>
      <c r="U191" s="66"/>
      <c r="V191" s="3"/>
      <c r="W191" s="63"/>
      <c r="X191" s="66"/>
      <c r="Y191" s="63"/>
      <c r="Z191" s="66"/>
      <c r="AA191" s="32"/>
      <c r="AC191" s="67">
        <v>44218</v>
      </c>
    </row>
    <row r="192" spans="1:29">
      <c r="A192" s="62"/>
      <c r="B192" s="63">
        <v>241.086761</v>
      </c>
      <c r="C192" s="66"/>
      <c r="D192" s="66"/>
      <c r="E192" s="66"/>
      <c r="F192" s="66"/>
      <c r="G192" s="63"/>
      <c r="H192" s="66"/>
      <c r="I192" s="63"/>
      <c r="J192" s="66"/>
      <c r="K192" s="63"/>
      <c r="L192" s="66"/>
      <c r="M192" s="63"/>
      <c r="N192" s="66"/>
      <c r="O192" s="66"/>
      <c r="P192" s="66"/>
      <c r="Q192" s="66"/>
      <c r="R192" s="63"/>
      <c r="S192" s="66"/>
      <c r="T192" s="63"/>
      <c r="U192" s="66"/>
      <c r="V192" s="3"/>
      <c r="W192" s="63"/>
      <c r="X192" s="66"/>
      <c r="Y192" s="63"/>
      <c r="Z192" s="66"/>
      <c r="AA192" s="32"/>
      <c r="AC192" s="67">
        <v>44225</v>
      </c>
    </row>
    <row r="193" spans="1:32">
      <c r="A193" s="62"/>
      <c r="B193" s="63">
        <v>243.86393699999999</v>
      </c>
      <c r="C193" s="66"/>
      <c r="D193" s="66"/>
      <c r="E193" s="66"/>
      <c r="F193" s="66"/>
      <c r="G193" s="63"/>
      <c r="H193" s="66"/>
      <c r="I193" s="63"/>
      <c r="J193" s="66"/>
      <c r="K193" s="63"/>
      <c r="L193" s="66"/>
      <c r="M193" s="63"/>
      <c r="N193" s="66"/>
      <c r="O193" s="66"/>
      <c r="P193" s="66"/>
      <c r="Q193" s="66"/>
      <c r="R193" s="63"/>
      <c r="S193" s="66"/>
      <c r="T193" s="63"/>
      <c r="U193" s="66"/>
      <c r="V193" s="3"/>
      <c r="W193" s="63"/>
      <c r="X193" s="66"/>
      <c r="Y193" s="63"/>
      <c r="Z193" s="66"/>
      <c r="AA193" s="32"/>
      <c r="AC193" s="67">
        <v>44232</v>
      </c>
    </row>
    <row r="194" spans="1:32">
      <c r="A194" s="62"/>
      <c r="B194" s="63">
        <v>239.86241100000001</v>
      </c>
      <c r="C194" s="66"/>
      <c r="D194" s="66"/>
      <c r="E194" s="66"/>
      <c r="F194" s="66"/>
      <c r="G194" s="63"/>
      <c r="H194" s="66"/>
      <c r="I194" s="63"/>
      <c r="J194" s="66"/>
      <c r="K194" s="63"/>
      <c r="L194" s="66"/>
      <c r="M194" s="63"/>
      <c r="N194" s="66"/>
      <c r="O194" s="66"/>
      <c r="P194" s="66"/>
      <c r="Q194" s="66"/>
      <c r="R194" s="63"/>
      <c r="S194" s="66"/>
      <c r="T194" s="63"/>
      <c r="U194" s="66"/>
      <c r="V194" s="3"/>
      <c r="W194" s="63"/>
      <c r="X194" s="66"/>
      <c r="Y194" s="63"/>
      <c r="Z194" s="66"/>
      <c r="AA194" s="32"/>
      <c r="AC194" s="67">
        <v>44239</v>
      </c>
    </row>
    <row r="195" spans="1:32">
      <c r="A195" s="62"/>
      <c r="B195" s="63">
        <v>231.84465</v>
      </c>
      <c r="C195" s="66"/>
      <c r="D195" s="66"/>
      <c r="E195" s="66"/>
      <c r="F195" s="66"/>
      <c r="G195" s="63"/>
      <c r="H195" s="66"/>
      <c r="I195" s="63"/>
      <c r="J195" s="66"/>
      <c r="K195" s="63"/>
      <c r="L195" s="66"/>
      <c r="M195" s="63"/>
      <c r="N195" s="66"/>
      <c r="O195" s="66"/>
      <c r="P195" s="66"/>
      <c r="Q195" s="66"/>
      <c r="R195" s="63"/>
      <c r="S195" s="66"/>
      <c r="T195" s="63"/>
      <c r="U195" s="66"/>
      <c r="V195" s="3"/>
      <c r="W195" s="63"/>
      <c r="X195" s="66"/>
      <c r="Y195" s="63"/>
      <c r="Z195" s="66"/>
      <c r="AA195" s="32"/>
      <c r="AC195" s="67">
        <v>44246</v>
      </c>
    </row>
    <row r="196" spans="1:32">
      <c r="A196" s="62"/>
      <c r="B196" s="63">
        <v>231.066452</v>
      </c>
      <c r="C196" s="66"/>
      <c r="D196" s="66"/>
      <c r="E196" s="66"/>
      <c r="F196" s="66"/>
      <c r="G196" s="63"/>
      <c r="H196" s="66"/>
      <c r="I196" s="63"/>
      <c r="J196" s="66"/>
      <c r="K196" s="63"/>
      <c r="L196" s="66"/>
      <c r="M196" s="63"/>
      <c r="N196" s="66"/>
      <c r="O196" s="66"/>
      <c r="P196" s="66"/>
      <c r="Q196" s="66"/>
      <c r="R196" s="63"/>
      <c r="S196" s="66"/>
      <c r="T196" s="63"/>
      <c r="U196" s="66"/>
      <c r="V196" s="3"/>
      <c r="W196" s="63"/>
      <c r="X196" s="66"/>
      <c r="Y196" s="63"/>
      <c r="Z196" s="66"/>
      <c r="AA196" s="32"/>
      <c r="AC196" s="67">
        <v>44253</v>
      </c>
    </row>
    <row r="197" spans="1:32">
      <c r="A197" s="62"/>
      <c r="B197" s="63">
        <v>235.20687899999999</v>
      </c>
      <c r="C197" s="66"/>
      <c r="D197" s="66"/>
      <c r="E197" s="66"/>
      <c r="F197" s="66"/>
      <c r="G197" s="63"/>
      <c r="H197" s="66"/>
      <c r="I197" s="63"/>
      <c r="J197" s="66"/>
      <c r="K197" s="63"/>
      <c r="L197" s="66"/>
      <c r="M197" s="63"/>
      <c r="N197" s="66"/>
      <c r="O197" s="66"/>
      <c r="P197" s="66"/>
      <c r="Q197" s="66"/>
      <c r="R197" s="63"/>
      <c r="S197" s="66"/>
      <c r="T197" s="63"/>
      <c r="U197" s="66"/>
      <c r="V197" s="3"/>
      <c r="W197" s="63"/>
      <c r="X197" s="66"/>
      <c r="Y197" s="63"/>
      <c r="Z197" s="66"/>
      <c r="AA197" s="32"/>
      <c r="AC197" s="67">
        <v>44260</v>
      </c>
    </row>
    <row r="198" spans="1:32">
      <c r="A198" s="62"/>
      <c r="B198" s="63">
        <v>229.81933599999999</v>
      </c>
      <c r="C198" s="66"/>
      <c r="D198" s="66"/>
      <c r="E198" s="66"/>
      <c r="F198" s="66"/>
      <c r="G198" s="63"/>
      <c r="H198" s="66"/>
      <c r="I198" s="63"/>
      <c r="J198" s="66"/>
      <c r="K198" s="63"/>
      <c r="L198" s="66"/>
      <c r="M198" s="63"/>
      <c r="N198" s="66"/>
      <c r="O198" s="66"/>
      <c r="P198" s="66"/>
      <c r="Q198" s="66"/>
      <c r="R198" s="63"/>
      <c r="S198" s="66"/>
      <c r="T198" s="63"/>
      <c r="U198" s="66"/>
      <c r="V198" s="3"/>
      <c r="W198" s="63"/>
      <c r="X198" s="66"/>
      <c r="Y198" s="63"/>
      <c r="Z198" s="66"/>
      <c r="AA198" s="32"/>
      <c r="AC198" s="67">
        <v>44267</v>
      </c>
    </row>
    <row r="199" spans="1:32">
      <c r="A199" s="62"/>
      <c r="B199" s="63">
        <v>235.93519599999999</v>
      </c>
      <c r="C199" s="66"/>
      <c r="D199" s="66"/>
      <c r="E199" s="66"/>
      <c r="F199" s="66"/>
      <c r="G199" s="63"/>
      <c r="H199" s="66"/>
      <c r="I199" s="63"/>
      <c r="J199" s="66"/>
      <c r="K199" s="63"/>
      <c r="L199" s="66"/>
      <c r="M199" s="63"/>
      <c r="N199" s="66"/>
      <c r="O199" s="66"/>
      <c r="P199" s="66"/>
      <c r="Q199" s="66"/>
      <c r="R199" s="63"/>
      <c r="S199" s="66"/>
      <c r="T199" s="63"/>
      <c r="U199" s="66"/>
      <c r="V199" s="3"/>
      <c r="W199" s="63"/>
      <c r="X199" s="66"/>
      <c r="Y199" s="63"/>
      <c r="Z199" s="66"/>
      <c r="AA199" s="32"/>
      <c r="AC199" s="67">
        <v>44274</v>
      </c>
    </row>
    <row r="200" spans="1:32">
      <c r="A200" s="62"/>
      <c r="B200" s="63">
        <v>241.791687</v>
      </c>
      <c r="C200" s="66"/>
      <c r="D200" s="66"/>
      <c r="E200" s="66"/>
      <c r="F200" s="66"/>
      <c r="G200" s="63"/>
      <c r="H200" s="66"/>
      <c r="I200" s="63"/>
      <c r="J200" s="66"/>
      <c r="K200" s="63"/>
      <c r="L200" s="66"/>
      <c r="M200" s="63"/>
      <c r="N200" s="66"/>
      <c r="O200" s="66"/>
      <c r="P200" s="66"/>
      <c r="Q200" s="66"/>
      <c r="R200" s="63"/>
      <c r="S200" s="66"/>
      <c r="T200" s="63"/>
      <c r="U200" s="66"/>
      <c r="V200" s="3"/>
      <c r="W200" s="63"/>
      <c r="X200" s="66"/>
      <c r="Y200" s="63"/>
      <c r="Z200" s="66"/>
      <c r="AA200" s="32"/>
      <c r="AC200" s="67">
        <v>44281</v>
      </c>
      <c r="AE200" s="13"/>
      <c r="AF200" s="20"/>
    </row>
    <row r="201" spans="1:32">
      <c r="A201" s="62"/>
      <c r="B201" s="63">
        <v>255.26059000000001</v>
      </c>
      <c r="C201" s="66"/>
      <c r="D201" s="66"/>
      <c r="E201" s="66"/>
      <c r="F201" s="66"/>
      <c r="G201" s="63"/>
      <c r="H201" s="66"/>
      <c r="I201" s="63"/>
      <c r="J201" s="66"/>
      <c r="K201" s="63"/>
      <c r="L201" s="66"/>
      <c r="M201" s="63"/>
      <c r="N201" s="66"/>
      <c r="O201" s="66"/>
      <c r="P201" s="66"/>
      <c r="Q201" s="66"/>
      <c r="R201" s="63"/>
      <c r="S201" s="66"/>
      <c r="T201" s="63"/>
      <c r="U201" s="66"/>
      <c r="V201" s="3"/>
      <c r="W201" s="63"/>
      <c r="X201" s="66"/>
      <c r="Y201" s="63"/>
      <c r="Z201" s="66"/>
      <c r="AA201" s="32"/>
      <c r="AC201" s="67">
        <v>44288</v>
      </c>
      <c r="AE201" s="13"/>
      <c r="AF201" s="20"/>
    </row>
    <row r="202" spans="1:32">
      <c r="A202" s="62"/>
      <c r="B202" s="63">
        <v>260.13931300000002</v>
      </c>
      <c r="C202" s="66"/>
      <c r="D202" s="66"/>
      <c r="E202" s="66"/>
      <c r="F202" s="66"/>
      <c r="G202" s="63"/>
      <c r="H202" s="66"/>
      <c r="I202" s="63"/>
      <c r="J202" s="66"/>
      <c r="K202" s="63"/>
      <c r="L202" s="66"/>
      <c r="M202" s="63"/>
      <c r="N202" s="66"/>
      <c r="O202" s="66"/>
      <c r="P202" s="66"/>
      <c r="Q202" s="66"/>
      <c r="R202" s="63"/>
      <c r="S202" s="66"/>
      <c r="T202" s="63"/>
      <c r="U202" s="66"/>
      <c r="V202" s="3"/>
      <c r="W202" s="63"/>
      <c r="X202" s="66"/>
      <c r="Y202" s="63"/>
      <c r="Z202" s="66"/>
      <c r="AA202" s="32"/>
      <c r="AC202" s="67">
        <v>44295</v>
      </c>
      <c r="AE202" s="13"/>
      <c r="AF202" s="20"/>
    </row>
    <row r="203" spans="1:32">
      <c r="A203" s="62"/>
      <c r="B203" s="63">
        <v>260.54836999999998</v>
      </c>
      <c r="C203" s="66"/>
      <c r="D203" s="66"/>
      <c r="E203" s="66"/>
      <c r="F203" s="66"/>
      <c r="G203" s="63"/>
      <c r="H203" s="66"/>
      <c r="I203" s="63"/>
      <c r="J203" s="66"/>
      <c r="K203" s="63"/>
      <c r="L203" s="66"/>
      <c r="M203" s="63"/>
      <c r="N203" s="66"/>
      <c r="O203" s="66"/>
      <c r="P203" s="66"/>
      <c r="Q203" s="66"/>
      <c r="R203" s="63"/>
      <c r="S203" s="66"/>
      <c r="T203" s="63"/>
      <c r="U203" s="66"/>
      <c r="V203" s="3"/>
      <c r="W203" s="63"/>
      <c r="X203" s="66"/>
      <c r="Y203" s="63"/>
      <c r="Z203" s="66"/>
      <c r="AA203" s="32"/>
      <c r="AC203" s="67">
        <v>44302</v>
      </c>
      <c r="AE203" s="13"/>
      <c r="AF203" s="20"/>
    </row>
    <row r="204" spans="1:32">
      <c r="A204" s="62"/>
      <c r="B204" s="63">
        <v>251.59903</v>
      </c>
      <c r="C204" s="66"/>
      <c r="D204" s="66"/>
      <c r="E204" s="66"/>
      <c r="F204" s="66"/>
      <c r="G204" s="63"/>
      <c r="H204" s="66"/>
      <c r="I204" s="63"/>
      <c r="J204" s="66"/>
      <c r="K204" s="63"/>
      <c r="L204" s="66"/>
      <c r="M204" s="63"/>
      <c r="N204" s="66"/>
      <c r="O204" s="66"/>
      <c r="P204" s="66"/>
      <c r="Q204" s="66"/>
      <c r="R204" s="63"/>
      <c r="S204" s="66"/>
      <c r="T204" s="63"/>
      <c r="U204" s="66"/>
      <c r="V204" s="3"/>
      <c r="W204" s="63"/>
      <c r="X204" s="66"/>
      <c r="Y204" s="63"/>
      <c r="Z204" s="66"/>
      <c r="AA204" s="32"/>
      <c r="AC204" s="67">
        <v>44309</v>
      </c>
      <c r="AE204" s="13"/>
      <c r="AF204" s="20"/>
    </row>
    <row r="205" spans="1:32">
      <c r="A205" s="62"/>
      <c r="B205" s="63">
        <v>251.878387</v>
      </c>
      <c r="C205" s="66"/>
      <c r="D205" s="66"/>
      <c r="E205" s="66"/>
      <c r="F205" s="66"/>
      <c r="G205" s="63"/>
      <c r="H205" s="66"/>
      <c r="I205" s="63"/>
      <c r="J205" s="66"/>
      <c r="K205" s="63"/>
      <c r="L205" s="66"/>
      <c r="M205" s="63"/>
      <c r="N205" s="66"/>
      <c r="O205" s="66"/>
      <c r="P205" s="66"/>
      <c r="Q205" s="66"/>
      <c r="R205" s="63"/>
      <c r="S205" s="66"/>
      <c r="T205" s="63"/>
      <c r="U205" s="66"/>
      <c r="V205" s="3"/>
      <c r="W205" s="63"/>
      <c r="X205" s="66"/>
      <c r="Y205" s="63"/>
      <c r="Z205" s="66"/>
      <c r="AA205" s="32"/>
      <c r="AC205" s="67">
        <v>44316</v>
      </c>
      <c r="AE205" s="13"/>
      <c r="AF205" s="20"/>
    </row>
    <row r="206" spans="1:32">
      <c r="A206" s="62"/>
      <c r="B206" s="63">
        <v>247.57830799999999</v>
      </c>
      <c r="C206" s="66"/>
      <c r="D206" s="66"/>
      <c r="E206" s="66"/>
      <c r="F206" s="66"/>
      <c r="G206" s="63"/>
      <c r="H206" s="66"/>
      <c r="I206" s="63"/>
      <c r="J206" s="66"/>
      <c r="K206" s="63"/>
      <c r="L206" s="66"/>
      <c r="M206" s="63"/>
      <c r="N206" s="66"/>
      <c r="O206" s="66"/>
      <c r="P206" s="66"/>
      <c r="Q206" s="66"/>
      <c r="R206" s="63"/>
      <c r="S206" s="66"/>
      <c r="T206" s="63"/>
      <c r="U206" s="66"/>
      <c r="V206" s="3"/>
      <c r="W206" s="63"/>
      <c r="X206" s="66"/>
      <c r="Y206" s="63"/>
      <c r="Z206" s="66"/>
      <c r="AA206" s="32"/>
      <c r="AC206" s="67">
        <v>44323</v>
      </c>
      <c r="AE206" s="13"/>
      <c r="AF206" s="20"/>
    </row>
    <row r="207" spans="1:32">
      <c r="A207" s="62"/>
      <c r="B207" s="63">
        <v>244.60517899999999</v>
      </c>
      <c r="C207" s="66"/>
      <c r="D207" s="66"/>
      <c r="E207" s="66"/>
      <c r="F207" s="66"/>
      <c r="G207" s="63"/>
      <c r="H207" s="66"/>
      <c r="I207" s="63"/>
      <c r="J207" s="66"/>
      <c r="K207" s="63"/>
      <c r="L207" s="66"/>
      <c r="M207" s="63"/>
      <c r="N207" s="66"/>
      <c r="O207" s="66"/>
      <c r="P207" s="66"/>
      <c r="Q207" s="66"/>
      <c r="R207" s="63"/>
      <c r="S207" s="66"/>
      <c r="T207" s="63"/>
      <c r="U207" s="66"/>
      <c r="V207" s="3"/>
      <c r="W207" s="63"/>
      <c r="X207" s="66"/>
      <c r="Y207" s="63"/>
      <c r="Z207" s="66"/>
      <c r="AA207" s="32"/>
      <c r="AC207" s="67">
        <v>44330</v>
      </c>
      <c r="AE207" s="13"/>
      <c r="AF207" s="20"/>
    </row>
    <row r="208" spans="1:32">
      <c r="A208" s="62"/>
      <c r="B208" s="63">
        <v>249.679993</v>
      </c>
      <c r="C208" s="66"/>
      <c r="D208" s="66"/>
      <c r="E208" s="66"/>
      <c r="F208" s="66"/>
      <c r="G208" s="63"/>
      <c r="H208" s="66"/>
      <c r="I208" s="63"/>
      <c r="J208" s="66"/>
      <c r="K208" s="63"/>
      <c r="L208" s="66"/>
      <c r="M208" s="63"/>
      <c r="N208" s="66"/>
      <c r="O208" s="66"/>
      <c r="P208" s="66"/>
      <c r="Q208" s="66"/>
      <c r="R208" s="63"/>
      <c r="S208" s="66"/>
      <c r="T208" s="63"/>
      <c r="U208" s="66"/>
      <c r="V208" s="3"/>
      <c r="W208" s="63"/>
      <c r="X208" s="66"/>
      <c r="Y208" s="63"/>
      <c r="Z208" s="66"/>
      <c r="AA208" s="32"/>
      <c r="AC208" s="67">
        <v>44337</v>
      </c>
      <c r="AE208" s="13"/>
      <c r="AF208" s="20"/>
    </row>
    <row r="209" spans="1:32">
      <c r="A209" s="62"/>
      <c r="B209" s="63">
        <v>250.78999300000001</v>
      </c>
      <c r="C209" s="66"/>
      <c r="D209" s="66"/>
      <c r="E209" s="66"/>
      <c r="F209" s="66"/>
      <c r="G209" s="63"/>
      <c r="H209" s="66"/>
      <c r="I209" s="63"/>
      <c r="J209" s="66"/>
      <c r="K209" s="63"/>
      <c r="L209" s="66"/>
      <c r="M209" s="63"/>
      <c r="N209" s="66"/>
      <c r="O209" s="66"/>
      <c r="P209" s="66"/>
      <c r="Q209" s="66"/>
      <c r="R209" s="63"/>
      <c r="S209" s="66"/>
      <c r="T209" s="63"/>
      <c r="U209" s="66"/>
      <c r="V209" s="3"/>
      <c r="W209" s="63"/>
      <c r="X209" s="66"/>
      <c r="Y209" s="63"/>
      <c r="Z209" s="66"/>
      <c r="AA209" s="32"/>
      <c r="AC209" s="67">
        <v>44344</v>
      </c>
      <c r="AE209" s="13"/>
      <c r="AF209" s="20"/>
    </row>
    <row r="210" spans="1:32">
      <c r="A210" s="62"/>
      <c r="B210" s="63">
        <v>257.89001500000001</v>
      </c>
      <c r="C210" s="66"/>
      <c r="D210" s="66"/>
      <c r="E210" s="66"/>
      <c r="F210" s="66"/>
      <c r="G210" s="63"/>
      <c r="H210" s="66"/>
      <c r="I210" s="63"/>
      <c r="J210" s="66"/>
      <c r="K210" s="63"/>
      <c r="L210" s="66"/>
      <c r="M210" s="63"/>
      <c r="N210" s="66"/>
      <c r="O210" s="66"/>
      <c r="P210" s="66"/>
      <c r="Q210" s="66"/>
      <c r="R210" s="63"/>
      <c r="S210" s="66"/>
      <c r="T210" s="63"/>
      <c r="U210" s="66"/>
      <c r="V210" s="3"/>
      <c r="W210" s="63"/>
      <c r="X210" s="66"/>
      <c r="Y210" s="63"/>
      <c r="Z210" s="66"/>
      <c r="AA210" s="32"/>
      <c r="AC210" s="67">
        <v>44351</v>
      </c>
      <c r="AE210" s="13"/>
      <c r="AF210" s="20"/>
    </row>
    <row r="211" spans="1:32">
      <c r="A211" s="62"/>
      <c r="B211" s="63">
        <v>260.89999399999999</v>
      </c>
      <c r="C211" s="66"/>
      <c r="D211" s="66"/>
      <c r="E211" s="66"/>
      <c r="F211" s="66"/>
      <c r="G211" s="63"/>
      <c r="H211" s="66"/>
      <c r="I211" s="63"/>
      <c r="J211" s="66"/>
      <c r="K211" s="63"/>
      <c r="L211" s="66"/>
      <c r="M211" s="63"/>
      <c r="N211" s="66"/>
      <c r="O211" s="66"/>
      <c r="P211" s="66"/>
      <c r="Q211" s="66"/>
      <c r="R211" s="63"/>
      <c r="S211" s="66"/>
      <c r="T211" s="63"/>
      <c r="U211" s="66"/>
      <c r="V211" s="3"/>
      <c r="W211" s="63"/>
      <c r="X211" s="66"/>
      <c r="Y211" s="63"/>
      <c r="Z211" s="66"/>
      <c r="AA211" s="32"/>
      <c r="AC211" s="67">
        <v>44358</v>
      </c>
      <c r="AE211" s="13"/>
      <c r="AF211" s="20"/>
    </row>
    <row r="212" spans="1:32">
      <c r="A212" s="68" t="s">
        <v>3</v>
      </c>
      <c r="B212" s="69"/>
      <c r="C212" s="70">
        <f>AVERAGE(C3:C45)*252</f>
        <v>0.49286367381389884</v>
      </c>
      <c r="D212" s="70">
        <f t="shared" ref="D212:R212" si="16">AVERAGE(D4:D211)*52</f>
        <v>0.60260084472447406</v>
      </c>
      <c r="E212" s="70">
        <f t="shared" si="16"/>
        <v>-2.0669831423518938</v>
      </c>
      <c r="F212" s="70">
        <f t="shared" si="16"/>
        <v>180.6010102435387</v>
      </c>
      <c r="G212" s="70">
        <f t="shared" si="16"/>
        <v>-747457181.73868704</v>
      </c>
      <c r="H212" s="70">
        <f t="shared" si="16"/>
        <v>8003.4982166491272</v>
      </c>
      <c r="I212" s="70">
        <f t="shared" si="16"/>
        <v>-838732706341.12146</v>
      </c>
      <c r="J212" s="70">
        <f t="shared" si="16"/>
        <v>230.54167136407102</v>
      </c>
      <c r="K212" s="70">
        <f t="shared" si="16"/>
        <v>-12635090.964852681</v>
      </c>
      <c r="L212" s="70">
        <f t="shared" si="16"/>
        <v>962.55836068776534</v>
      </c>
      <c r="M212" s="70">
        <f t="shared" si="16"/>
        <v>694111282.92760336</v>
      </c>
      <c r="N212" s="70">
        <f t="shared" si="16"/>
        <v>9.5481547369824575</v>
      </c>
      <c r="O212" s="70">
        <f t="shared" si="16"/>
        <v>-27.309499456431471</v>
      </c>
      <c r="P212" s="70">
        <f t="shared" si="16"/>
        <v>14.661438658533081</v>
      </c>
      <c r="Q212" s="70">
        <f t="shared" si="16"/>
        <v>1.3773214833495577</v>
      </c>
      <c r="R212" s="70">
        <f t="shared" si="16"/>
        <v>0</v>
      </c>
      <c r="S212" s="70">
        <f>AVERAGE(S4:S211)*52</f>
        <v>0</v>
      </c>
      <c r="T212" s="70">
        <f t="shared" ref="T212:AA212" si="17">AVERAGE(T4:T211)*52</f>
        <v>0</v>
      </c>
      <c r="U212" s="70">
        <f t="shared" si="17"/>
        <v>0</v>
      </c>
      <c r="V212" s="70">
        <f t="shared" si="17"/>
        <v>0</v>
      </c>
      <c r="W212" s="70">
        <f t="shared" si="17"/>
        <v>0</v>
      </c>
      <c r="X212" s="70">
        <f t="shared" si="17"/>
        <v>0</v>
      </c>
      <c r="Y212" s="70">
        <f t="shared" si="17"/>
        <v>0</v>
      </c>
      <c r="Z212" s="70">
        <f t="shared" si="17"/>
        <v>0</v>
      </c>
      <c r="AA212" s="70">
        <f t="shared" si="17"/>
        <v>0</v>
      </c>
      <c r="AB212" s="70" t="e">
        <f>AVERAGE(AB4:AB211)</f>
        <v>#DIV/0!</v>
      </c>
      <c r="AC212" s="71"/>
      <c r="AD212" s="72"/>
      <c r="AE212" s="13"/>
      <c r="AF212" s="20"/>
    </row>
    <row r="213" spans="1:32">
      <c r="A213" s="73" t="s">
        <v>13</v>
      </c>
      <c r="B213" s="69"/>
      <c r="C213" s="70">
        <f t="shared" ref="C213:AA213" si="18">STDEV(C4:C211)*SQRT(52)</f>
        <v>6.117991459228957</v>
      </c>
      <c r="D213" s="70">
        <f t="shared" si="18"/>
        <v>3.2826444973804509</v>
      </c>
      <c r="E213" s="70">
        <f t="shared" si="18"/>
        <v>5.4333212300857472</v>
      </c>
      <c r="F213" s="70">
        <f t="shared" si="18"/>
        <v>191.12560320413317</v>
      </c>
      <c r="G213" s="70">
        <f t="shared" si="18"/>
        <v>747478828.49517715</v>
      </c>
      <c r="H213" s="70">
        <f t="shared" si="18"/>
        <v>8079.4289443172629</v>
      </c>
      <c r="I213" s="70">
        <f t="shared" si="18"/>
        <v>838734774985.42322</v>
      </c>
      <c r="J213" s="70">
        <f t="shared" si="18"/>
        <v>232.05976416933891</v>
      </c>
      <c r="K213" s="70">
        <f t="shared" si="18"/>
        <v>12652129.490890859</v>
      </c>
      <c r="L213" s="70">
        <f t="shared" si="18"/>
        <v>972.57918965242709</v>
      </c>
      <c r="M213" s="70">
        <f t="shared" si="18"/>
        <v>694035819.91067398</v>
      </c>
      <c r="N213" s="70">
        <f t="shared" si="18"/>
        <v>6.1051100752304208</v>
      </c>
      <c r="O213" s="70">
        <f t="shared" si="18"/>
        <v>24.059590771254083</v>
      </c>
      <c r="P213" s="70">
        <f t="shared" si="18"/>
        <v>11.517704005139256</v>
      </c>
      <c r="Q213" s="70">
        <f t="shared" si="18"/>
        <v>1.0401966452546483</v>
      </c>
      <c r="R213" s="70">
        <f t="shared" si="18"/>
        <v>0</v>
      </c>
      <c r="S213" s="70">
        <f>STDEV(S4:S211)*SQRT(52)</f>
        <v>0</v>
      </c>
      <c r="T213" s="70">
        <f t="shared" si="18"/>
        <v>0</v>
      </c>
      <c r="U213" s="70">
        <f t="shared" si="18"/>
        <v>0</v>
      </c>
      <c r="V213" s="70">
        <f t="shared" si="18"/>
        <v>0</v>
      </c>
      <c r="W213" s="70">
        <f t="shared" si="18"/>
        <v>0</v>
      </c>
      <c r="X213" s="70">
        <f t="shared" si="18"/>
        <v>0</v>
      </c>
      <c r="Y213" s="70">
        <f t="shared" si="18"/>
        <v>0</v>
      </c>
      <c r="Z213" s="70">
        <f t="shared" si="18"/>
        <v>0</v>
      </c>
      <c r="AA213" s="70" t="e">
        <f t="shared" si="18"/>
        <v>#DIV/0!</v>
      </c>
      <c r="AB213" s="70" t="e">
        <f>STDEV(AB4:AB211)*SQRT(52)</f>
        <v>#DIV/0!</v>
      </c>
      <c r="AC213" s="71"/>
      <c r="AD213" s="72"/>
      <c r="AE213" s="13"/>
      <c r="AF213" s="20"/>
    </row>
    <row r="214" spans="1:32">
      <c r="A214" s="68" t="s">
        <v>5</v>
      </c>
      <c r="B214" s="69"/>
      <c r="C214" s="74">
        <f t="shared" ref="C214:AB214" si="19">_xlfn.COVARIANCE.S(C4:C211,$Z4:$Z211)</f>
        <v>0</v>
      </c>
      <c r="D214" s="74">
        <f t="shared" si="19"/>
        <v>0</v>
      </c>
      <c r="E214" s="74">
        <f t="shared" si="19"/>
        <v>0</v>
      </c>
      <c r="F214" s="74">
        <f t="shared" si="19"/>
        <v>0</v>
      </c>
      <c r="G214" s="74">
        <f t="shared" si="19"/>
        <v>0</v>
      </c>
      <c r="H214" s="74">
        <f t="shared" si="19"/>
        <v>0</v>
      </c>
      <c r="I214" s="74">
        <f t="shared" si="19"/>
        <v>0</v>
      </c>
      <c r="J214" s="74">
        <f t="shared" si="19"/>
        <v>0</v>
      </c>
      <c r="K214" s="74">
        <f t="shared" si="19"/>
        <v>0</v>
      </c>
      <c r="L214" s="74">
        <f t="shared" si="19"/>
        <v>0</v>
      </c>
      <c r="M214" s="74">
        <f t="shared" si="19"/>
        <v>0</v>
      </c>
      <c r="N214" s="74">
        <f t="shared" si="19"/>
        <v>0</v>
      </c>
      <c r="O214" s="74">
        <f t="shared" si="19"/>
        <v>0</v>
      </c>
      <c r="P214" s="74">
        <f t="shared" si="19"/>
        <v>0</v>
      </c>
      <c r="Q214" s="74">
        <f t="shared" si="19"/>
        <v>0</v>
      </c>
      <c r="R214" s="74">
        <f t="shared" si="19"/>
        <v>0</v>
      </c>
      <c r="S214" s="74">
        <f t="shared" si="19"/>
        <v>0</v>
      </c>
      <c r="T214" s="74">
        <f t="shared" si="19"/>
        <v>0</v>
      </c>
      <c r="U214" s="74">
        <f t="shared" si="19"/>
        <v>0</v>
      </c>
      <c r="V214" s="74">
        <f t="shared" si="19"/>
        <v>0</v>
      </c>
      <c r="W214" s="74">
        <f t="shared" si="19"/>
        <v>0</v>
      </c>
      <c r="X214" s="74">
        <f t="shared" si="19"/>
        <v>0</v>
      </c>
      <c r="Y214" s="74">
        <f t="shared" si="19"/>
        <v>0</v>
      </c>
      <c r="Z214" s="74">
        <f t="shared" si="19"/>
        <v>0</v>
      </c>
      <c r="AA214" s="74" t="e">
        <f t="shared" si="19"/>
        <v>#DIV/0!</v>
      </c>
      <c r="AB214" s="74" t="e">
        <f t="shared" si="19"/>
        <v>#DIV/0!</v>
      </c>
      <c r="AC214" s="71"/>
      <c r="AD214" s="72"/>
      <c r="AE214" s="13"/>
      <c r="AF214" s="20"/>
    </row>
    <row r="215" spans="1:32">
      <c r="A215" s="75" t="s">
        <v>6</v>
      </c>
      <c r="B215" s="69"/>
      <c r="C215" s="74">
        <f t="shared" ref="C215:AB215" si="20">_xlfn.VAR.S(C4:C211)</f>
        <v>0.71980422106150899</v>
      </c>
      <c r="D215" s="74">
        <f t="shared" si="20"/>
        <v>0.20722605569581065</v>
      </c>
      <c r="E215" s="74">
        <f t="shared" si="20"/>
        <v>0.56771114594808647</v>
      </c>
      <c r="F215" s="74">
        <f t="shared" si="20"/>
        <v>702.48069615661075</v>
      </c>
      <c r="G215" s="74">
        <f t="shared" si="20"/>
        <v>1.0744703827856202E+16</v>
      </c>
      <c r="H215" s="74">
        <f t="shared" si="20"/>
        <v>1255330.232043684</v>
      </c>
      <c r="I215" s="74">
        <f t="shared" si="20"/>
        <v>1.3528385053266322E+22</v>
      </c>
      <c r="J215" s="74">
        <f t="shared" si="20"/>
        <v>1035.6102720447921</v>
      </c>
      <c r="K215" s="74">
        <f t="shared" si="20"/>
        <v>3078391935659.0425</v>
      </c>
      <c r="L215" s="74">
        <f t="shared" si="20"/>
        <v>18190.582310480226</v>
      </c>
      <c r="M215" s="74">
        <f t="shared" si="20"/>
        <v>9263186909982338</v>
      </c>
      <c r="N215" s="74">
        <f t="shared" si="20"/>
        <v>0.71677632751307696</v>
      </c>
      <c r="O215" s="74">
        <f t="shared" si="20"/>
        <v>11.131998232311819</v>
      </c>
      <c r="P215" s="74">
        <f t="shared" si="20"/>
        <v>2.5511058759615559</v>
      </c>
      <c r="Q215" s="74">
        <f t="shared" si="20"/>
        <v>2.0807866553827391E-2</v>
      </c>
      <c r="R215" s="74">
        <f t="shared" si="20"/>
        <v>0</v>
      </c>
      <c r="S215" s="74">
        <f>_xlfn.VAR.S(S4:S211)</f>
        <v>0</v>
      </c>
      <c r="T215" s="74">
        <f t="shared" si="20"/>
        <v>0</v>
      </c>
      <c r="U215" s="74">
        <f t="shared" si="20"/>
        <v>0</v>
      </c>
      <c r="V215" s="74">
        <f t="shared" si="20"/>
        <v>0</v>
      </c>
      <c r="W215" s="74">
        <f t="shared" si="20"/>
        <v>0</v>
      </c>
      <c r="X215" s="74">
        <f t="shared" si="20"/>
        <v>0</v>
      </c>
      <c r="Y215" s="74">
        <f t="shared" si="20"/>
        <v>0</v>
      </c>
      <c r="Z215" s="74">
        <f t="shared" si="20"/>
        <v>0</v>
      </c>
      <c r="AA215" s="74" t="e">
        <f t="shared" si="20"/>
        <v>#DIV/0!</v>
      </c>
      <c r="AB215" s="74" t="e">
        <f t="shared" si="20"/>
        <v>#DIV/0!</v>
      </c>
      <c r="AC215" s="71"/>
      <c r="AD215" s="72"/>
    </row>
    <row r="216" spans="1:32">
      <c r="A216" s="68" t="s">
        <v>22</v>
      </c>
      <c r="B216" s="69"/>
      <c r="C216" s="76">
        <f t="shared" ref="C216:AB216" si="21">C214/C215</f>
        <v>0</v>
      </c>
      <c r="D216" s="76">
        <f t="shared" si="21"/>
        <v>0</v>
      </c>
      <c r="E216" s="76">
        <f t="shared" si="21"/>
        <v>0</v>
      </c>
      <c r="F216" s="76">
        <f t="shared" si="21"/>
        <v>0</v>
      </c>
      <c r="G216" s="76">
        <f t="shared" si="21"/>
        <v>0</v>
      </c>
      <c r="H216" s="76">
        <f t="shared" si="21"/>
        <v>0</v>
      </c>
      <c r="I216" s="76">
        <f t="shared" si="21"/>
        <v>0</v>
      </c>
      <c r="J216" s="76">
        <f t="shared" si="21"/>
        <v>0</v>
      </c>
      <c r="K216" s="76">
        <f t="shared" si="21"/>
        <v>0</v>
      </c>
      <c r="L216" s="76">
        <f t="shared" si="21"/>
        <v>0</v>
      </c>
      <c r="M216" s="76">
        <f t="shared" si="21"/>
        <v>0</v>
      </c>
      <c r="N216" s="76">
        <f t="shared" si="21"/>
        <v>0</v>
      </c>
      <c r="O216" s="76">
        <f t="shared" si="21"/>
        <v>0</v>
      </c>
      <c r="P216" s="76">
        <f t="shared" si="21"/>
        <v>0</v>
      </c>
      <c r="Q216" s="76">
        <f t="shared" si="21"/>
        <v>0</v>
      </c>
      <c r="R216" s="76" t="e">
        <f t="shared" si="21"/>
        <v>#DIV/0!</v>
      </c>
      <c r="S216" s="76" t="e">
        <f t="shared" si="21"/>
        <v>#DIV/0!</v>
      </c>
      <c r="T216" s="76" t="e">
        <f t="shared" si="21"/>
        <v>#DIV/0!</v>
      </c>
      <c r="U216" s="76" t="e">
        <f t="shared" si="21"/>
        <v>#DIV/0!</v>
      </c>
      <c r="V216" s="76" t="e">
        <f t="shared" si="21"/>
        <v>#DIV/0!</v>
      </c>
      <c r="W216" s="76" t="e">
        <f t="shared" si="21"/>
        <v>#DIV/0!</v>
      </c>
      <c r="X216" s="76" t="e">
        <f t="shared" si="21"/>
        <v>#DIV/0!</v>
      </c>
      <c r="Y216" s="76" t="e">
        <f t="shared" si="21"/>
        <v>#DIV/0!</v>
      </c>
      <c r="Z216" s="76" t="e">
        <f t="shared" si="21"/>
        <v>#DIV/0!</v>
      </c>
      <c r="AA216" s="76" t="e">
        <f t="shared" si="21"/>
        <v>#DIV/0!</v>
      </c>
      <c r="AB216" s="76" t="e">
        <f t="shared" si="21"/>
        <v>#DIV/0!</v>
      </c>
      <c r="AC216" s="71"/>
      <c r="AD216" s="72"/>
    </row>
    <row r="217" spans="1:32">
      <c r="A217" s="68" t="s">
        <v>23</v>
      </c>
      <c r="B217" s="69"/>
      <c r="C217" s="77" t="e">
        <f t="shared" ref="C217:Z217" si="22">C212-($AB212+C216*($Z212-$AB212))</f>
        <v>#DIV/0!</v>
      </c>
      <c r="D217" s="77" t="e">
        <f t="shared" si="22"/>
        <v>#DIV/0!</v>
      </c>
      <c r="E217" s="77" t="e">
        <f t="shared" si="22"/>
        <v>#DIV/0!</v>
      </c>
      <c r="F217" s="77" t="e">
        <f t="shared" si="22"/>
        <v>#DIV/0!</v>
      </c>
      <c r="G217" s="77" t="e">
        <f t="shared" si="22"/>
        <v>#DIV/0!</v>
      </c>
      <c r="H217" s="77" t="e">
        <f t="shared" si="22"/>
        <v>#DIV/0!</v>
      </c>
      <c r="I217" s="77" t="e">
        <f t="shared" si="22"/>
        <v>#DIV/0!</v>
      </c>
      <c r="J217" s="77" t="e">
        <f t="shared" si="22"/>
        <v>#DIV/0!</v>
      </c>
      <c r="K217" s="77" t="e">
        <f t="shared" si="22"/>
        <v>#DIV/0!</v>
      </c>
      <c r="L217" s="77" t="e">
        <f t="shared" si="22"/>
        <v>#DIV/0!</v>
      </c>
      <c r="M217" s="77" t="e">
        <f t="shared" si="22"/>
        <v>#DIV/0!</v>
      </c>
      <c r="N217" s="77" t="e">
        <f t="shared" si="22"/>
        <v>#DIV/0!</v>
      </c>
      <c r="O217" s="77" t="e">
        <f t="shared" si="22"/>
        <v>#DIV/0!</v>
      </c>
      <c r="P217" s="77" t="e">
        <f t="shared" si="22"/>
        <v>#DIV/0!</v>
      </c>
      <c r="Q217" s="77" t="e">
        <f t="shared" si="22"/>
        <v>#DIV/0!</v>
      </c>
      <c r="R217" s="77" t="e">
        <f t="shared" si="22"/>
        <v>#DIV/0!</v>
      </c>
      <c r="S217" s="77" t="e">
        <f t="shared" si="22"/>
        <v>#DIV/0!</v>
      </c>
      <c r="T217" s="77" t="e">
        <f t="shared" si="22"/>
        <v>#DIV/0!</v>
      </c>
      <c r="U217" s="77" t="e">
        <f t="shared" si="22"/>
        <v>#DIV/0!</v>
      </c>
      <c r="V217" s="77" t="e">
        <f t="shared" si="22"/>
        <v>#DIV/0!</v>
      </c>
      <c r="W217" s="77" t="e">
        <f t="shared" si="22"/>
        <v>#DIV/0!</v>
      </c>
      <c r="X217" s="77" t="e">
        <f t="shared" si="22"/>
        <v>#DIV/0!</v>
      </c>
      <c r="Y217" s="77" t="e">
        <f t="shared" si="22"/>
        <v>#DIV/0!</v>
      </c>
      <c r="Z217" s="77" t="e">
        <f t="shared" si="22"/>
        <v>#DIV/0!</v>
      </c>
      <c r="AA217" s="72"/>
      <c r="AB217" s="78"/>
      <c r="AC217" s="71"/>
      <c r="AD217" s="72"/>
    </row>
    <row r="218" spans="1:32">
      <c r="A218" s="75" t="s">
        <v>10</v>
      </c>
      <c r="B218" s="69"/>
      <c r="C218" s="77" t="e">
        <f t="shared" ref="C218:Z218" si="23">(C212-$AB212)/C216</f>
        <v>#DIV/0!</v>
      </c>
      <c r="D218" s="77" t="e">
        <f t="shared" si="23"/>
        <v>#DIV/0!</v>
      </c>
      <c r="E218" s="77" t="e">
        <f t="shared" si="23"/>
        <v>#DIV/0!</v>
      </c>
      <c r="F218" s="77" t="e">
        <f t="shared" si="23"/>
        <v>#DIV/0!</v>
      </c>
      <c r="G218" s="77" t="e">
        <f t="shared" si="23"/>
        <v>#DIV/0!</v>
      </c>
      <c r="H218" s="77" t="e">
        <f t="shared" si="23"/>
        <v>#DIV/0!</v>
      </c>
      <c r="I218" s="77" t="e">
        <f t="shared" si="23"/>
        <v>#DIV/0!</v>
      </c>
      <c r="J218" s="77" t="e">
        <f t="shared" si="23"/>
        <v>#DIV/0!</v>
      </c>
      <c r="K218" s="77" t="e">
        <f t="shared" si="23"/>
        <v>#DIV/0!</v>
      </c>
      <c r="L218" s="77" t="e">
        <f t="shared" si="23"/>
        <v>#DIV/0!</v>
      </c>
      <c r="M218" s="77" t="e">
        <f t="shared" si="23"/>
        <v>#DIV/0!</v>
      </c>
      <c r="N218" s="77" t="e">
        <f t="shared" si="23"/>
        <v>#DIV/0!</v>
      </c>
      <c r="O218" s="77" t="e">
        <f t="shared" si="23"/>
        <v>#DIV/0!</v>
      </c>
      <c r="P218" s="77" t="e">
        <f t="shared" si="23"/>
        <v>#DIV/0!</v>
      </c>
      <c r="Q218" s="77" t="e">
        <f t="shared" si="23"/>
        <v>#DIV/0!</v>
      </c>
      <c r="R218" s="77" t="e">
        <f t="shared" si="23"/>
        <v>#DIV/0!</v>
      </c>
      <c r="S218" s="77" t="e">
        <f t="shared" si="23"/>
        <v>#DIV/0!</v>
      </c>
      <c r="T218" s="77" t="e">
        <f t="shared" si="23"/>
        <v>#DIV/0!</v>
      </c>
      <c r="U218" s="77" t="e">
        <f t="shared" si="23"/>
        <v>#DIV/0!</v>
      </c>
      <c r="V218" s="77" t="e">
        <f t="shared" si="23"/>
        <v>#DIV/0!</v>
      </c>
      <c r="W218" s="77" t="e">
        <f t="shared" si="23"/>
        <v>#DIV/0!</v>
      </c>
      <c r="X218" s="77" t="e">
        <f t="shared" si="23"/>
        <v>#DIV/0!</v>
      </c>
      <c r="Y218" s="77" t="e">
        <f t="shared" si="23"/>
        <v>#DIV/0!</v>
      </c>
      <c r="Z218" s="77" t="e">
        <f t="shared" si="23"/>
        <v>#DIV/0!</v>
      </c>
      <c r="AA218" s="72"/>
      <c r="AB218" s="78"/>
      <c r="AC218" s="71"/>
      <c r="AD218" s="72"/>
    </row>
    <row r="219" spans="1:32">
      <c r="A219" s="75" t="s">
        <v>11</v>
      </c>
      <c r="B219" s="69"/>
      <c r="C219" s="77" t="e">
        <f t="shared" ref="C219:Z219" si="24">(C212-$AB212)/C213</f>
        <v>#DIV/0!</v>
      </c>
      <c r="D219" s="77" t="e">
        <f t="shared" si="24"/>
        <v>#DIV/0!</v>
      </c>
      <c r="E219" s="77" t="e">
        <f t="shared" si="24"/>
        <v>#DIV/0!</v>
      </c>
      <c r="F219" s="77" t="e">
        <f t="shared" si="24"/>
        <v>#DIV/0!</v>
      </c>
      <c r="G219" s="77" t="e">
        <f t="shared" si="24"/>
        <v>#DIV/0!</v>
      </c>
      <c r="H219" s="77" t="e">
        <f t="shared" si="24"/>
        <v>#DIV/0!</v>
      </c>
      <c r="I219" s="77" t="e">
        <f t="shared" si="24"/>
        <v>#DIV/0!</v>
      </c>
      <c r="J219" s="77" t="e">
        <f t="shared" si="24"/>
        <v>#DIV/0!</v>
      </c>
      <c r="K219" s="77" t="e">
        <f t="shared" si="24"/>
        <v>#DIV/0!</v>
      </c>
      <c r="L219" s="77" t="e">
        <f t="shared" si="24"/>
        <v>#DIV/0!</v>
      </c>
      <c r="M219" s="77" t="e">
        <f t="shared" si="24"/>
        <v>#DIV/0!</v>
      </c>
      <c r="N219" s="77" t="e">
        <f t="shared" si="24"/>
        <v>#DIV/0!</v>
      </c>
      <c r="O219" s="77" t="e">
        <f t="shared" si="24"/>
        <v>#DIV/0!</v>
      </c>
      <c r="P219" s="77" t="e">
        <f t="shared" si="24"/>
        <v>#DIV/0!</v>
      </c>
      <c r="Q219" s="77" t="e">
        <f t="shared" si="24"/>
        <v>#DIV/0!</v>
      </c>
      <c r="R219" s="77" t="e">
        <f t="shared" si="24"/>
        <v>#DIV/0!</v>
      </c>
      <c r="S219" s="77" t="e">
        <f t="shared" si="24"/>
        <v>#DIV/0!</v>
      </c>
      <c r="T219" s="77" t="e">
        <f t="shared" si="24"/>
        <v>#DIV/0!</v>
      </c>
      <c r="U219" s="77" t="e">
        <f t="shared" si="24"/>
        <v>#DIV/0!</v>
      </c>
      <c r="V219" s="77" t="e">
        <f t="shared" si="24"/>
        <v>#DIV/0!</v>
      </c>
      <c r="W219" s="77" t="e">
        <f t="shared" si="24"/>
        <v>#DIV/0!</v>
      </c>
      <c r="X219" s="77" t="e">
        <f t="shared" si="24"/>
        <v>#DIV/0!</v>
      </c>
      <c r="Y219" s="77" t="e">
        <f t="shared" si="24"/>
        <v>#DIV/0!</v>
      </c>
      <c r="Z219" s="77" t="e">
        <f t="shared" si="24"/>
        <v>#DIV/0!</v>
      </c>
      <c r="AA219" s="72"/>
      <c r="AB219" s="78"/>
      <c r="AC219" s="71"/>
      <c r="AD219" s="72"/>
    </row>
    <row r="220" spans="1:32">
      <c r="A220" s="75" t="s">
        <v>118</v>
      </c>
      <c r="B220" s="69"/>
      <c r="C220" s="78">
        <v>8.1875885413144819E-2</v>
      </c>
      <c r="D220" s="78">
        <v>7.9144388733300389E-2</v>
      </c>
      <c r="E220" s="78">
        <v>8.1569277869326121E-2</v>
      </c>
      <c r="F220" s="78">
        <v>5.9741444787584523E-2</v>
      </c>
      <c r="G220" s="69"/>
      <c r="H220" s="78">
        <v>4.154872629138609E-2</v>
      </c>
      <c r="I220" s="69"/>
      <c r="J220" s="78">
        <v>6.0814307199214802E-2</v>
      </c>
      <c r="K220" s="69"/>
      <c r="L220" s="78">
        <v>3.1815033432538581E-2</v>
      </c>
      <c r="M220" s="69"/>
      <c r="N220" s="78">
        <v>4.5494251489654254E-2</v>
      </c>
      <c r="O220" s="78">
        <v>5.1916999704315361E-2</v>
      </c>
      <c r="P220" s="78">
        <v>4.820372768596709E-2</v>
      </c>
      <c r="Q220" s="78">
        <v>4.8667084788553867E-2</v>
      </c>
      <c r="R220" s="69"/>
      <c r="S220" s="78">
        <v>6.4060819995923377E-2</v>
      </c>
      <c r="T220" s="69"/>
      <c r="U220" s="78">
        <v>6.4322955849321559E-2</v>
      </c>
      <c r="V220" s="72"/>
      <c r="W220" s="69"/>
      <c r="X220" s="78">
        <v>4.533740467077322E-2</v>
      </c>
      <c r="Y220" s="69"/>
      <c r="Z220" s="78">
        <v>9.5617036328305607E-2</v>
      </c>
      <c r="AA220" s="72"/>
      <c r="AB220" s="78"/>
      <c r="AC220" s="71"/>
      <c r="AD220" s="72"/>
    </row>
    <row r="221" spans="1:32">
      <c r="A221" s="75" t="s">
        <v>25</v>
      </c>
      <c r="B221" s="69"/>
      <c r="C221" s="70">
        <f t="shared" ref="C221:AA221" si="25">C220*C212</f>
        <v>4.0353649681488364E-2</v>
      </c>
      <c r="D221" s="70">
        <f t="shared" si="25"/>
        <v>4.7692475505888961E-2</v>
      </c>
      <c r="E221" s="70">
        <f t="shared" si="25"/>
        <v>-0.1686023222897145</v>
      </c>
      <c r="F221" s="70">
        <f t="shared" si="25"/>
        <v>10.789365282046354</v>
      </c>
      <c r="G221" s="70">
        <f t="shared" si="25"/>
        <v>0</v>
      </c>
      <c r="H221" s="70">
        <f t="shared" si="25"/>
        <v>332.53515677715126</v>
      </c>
      <c r="I221" s="70">
        <f t="shared" si="25"/>
        <v>0</v>
      </c>
      <c r="J221" s="70">
        <f t="shared" si="25"/>
        <v>14.020232024555037</v>
      </c>
      <c r="K221" s="70">
        <f t="shared" si="25"/>
        <v>0</v>
      </c>
      <c r="L221" s="70">
        <f t="shared" si="25"/>
        <v>30.623826426050783</v>
      </c>
      <c r="M221" s="70">
        <f t="shared" si="25"/>
        <v>0</v>
      </c>
      <c r="N221" s="70">
        <f t="shared" si="25"/>
        <v>0.43438615286641347</v>
      </c>
      <c r="O221" s="70">
        <f t="shared" si="25"/>
        <v>-1.4178272752045531</v>
      </c>
      <c r="P221" s="70">
        <f t="shared" si="25"/>
        <v>0.70673599658043929</v>
      </c>
      <c r="Q221" s="70">
        <f t="shared" si="25"/>
        <v>6.7030221411269714E-2</v>
      </c>
      <c r="R221" s="70">
        <f t="shared" si="25"/>
        <v>0</v>
      </c>
      <c r="S221" s="70">
        <f t="shared" si="25"/>
        <v>0</v>
      </c>
      <c r="T221" s="70">
        <f t="shared" si="25"/>
        <v>0</v>
      </c>
      <c r="U221" s="70">
        <f t="shared" si="25"/>
        <v>0</v>
      </c>
      <c r="V221" s="70">
        <f t="shared" si="25"/>
        <v>0</v>
      </c>
      <c r="W221" s="70">
        <f t="shared" si="25"/>
        <v>0</v>
      </c>
      <c r="X221" s="70">
        <f t="shared" si="25"/>
        <v>0</v>
      </c>
      <c r="Y221" s="70">
        <f t="shared" si="25"/>
        <v>0</v>
      </c>
      <c r="Z221" s="70">
        <f t="shared" si="25"/>
        <v>0</v>
      </c>
      <c r="AA221" s="70">
        <f t="shared" si="25"/>
        <v>0</v>
      </c>
      <c r="AB221" s="75" t="s">
        <v>119</v>
      </c>
      <c r="AC221" s="79"/>
      <c r="AD221" s="79">
        <f>SUM(C221:Z221)</f>
        <v>387.67834940835462</v>
      </c>
    </row>
    <row r="222" spans="1:32">
      <c r="A222" s="68" t="s">
        <v>22</v>
      </c>
      <c r="B222" s="69"/>
      <c r="C222" s="76">
        <f t="shared" ref="C222:Z222" si="26">C216*C220</f>
        <v>0</v>
      </c>
      <c r="D222" s="76">
        <f t="shared" si="26"/>
        <v>0</v>
      </c>
      <c r="E222" s="76">
        <f t="shared" si="26"/>
        <v>0</v>
      </c>
      <c r="F222" s="76">
        <f t="shared" si="26"/>
        <v>0</v>
      </c>
      <c r="G222" s="76">
        <f t="shared" si="26"/>
        <v>0</v>
      </c>
      <c r="H222" s="76">
        <f t="shared" si="26"/>
        <v>0</v>
      </c>
      <c r="I222" s="76">
        <f t="shared" si="26"/>
        <v>0</v>
      </c>
      <c r="J222" s="76">
        <f t="shared" si="26"/>
        <v>0</v>
      </c>
      <c r="K222" s="76">
        <f t="shared" si="26"/>
        <v>0</v>
      </c>
      <c r="L222" s="76">
        <f t="shared" si="26"/>
        <v>0</v>
      </c>
      <c r="M222" s="76">
        <f t="shared" si="26"/>
        <v>0</v>
      </c>
      <c r="N222" s="76">
        <f t="shared" si="26"/>
        <v>0</v>
      </c>
      <c r="O222" s="76">
        <f t="shared" si="26"/>
        <v>0</v>
      </c>
      <c r="P222" s="76">
        <f t="shared" si="26"/>
        <v>0</v>
      </c>
      <c r="Q222" s="76">
        <f t="shared" si="26"/>
        <v>0</v>
      </c>
      <c r="R222" s="76" t="e">
        <f t="shared" si="26"/>
        <v>#DIV/0!</v>
      </c>
      <c r="S222" s="76" t="e">
        <f t="shared" si="26"/>
        <v>#DIV/0!</v>
      </c>
      <c r="T222" s="76" t="e">
        <f t="shared" si="26"/>
        <v>#DIV/0!</v>
      </c>
      <c r="U222" s="76" t="e">
        <f t="shared" si="26"/>
        <v>#DIV/0!</v>
      </c>
      <c r="V222" s="76" t="e">
        <f t="shared" si="26"/>
        <v>#DIV/0!</v>
      </c>
      <c r="W222" s="76" t="e">
        <f t="shared" si="26"/>
        <v>#DIV/0!</v>
      </c>
      <c r="X222" s="76" t="e">
        <f t="shared" si="26"/>
        <v>#DIV/0!</v>
      </c>
      <c r="Y222" s="76" t="e">
        <f t="shared" si="26"/>
        <v>#DIV/0!</v>
      </c>
      <c r="Z222" s="76" t="e">
        <f t="shared" si="26"/>
        <v>#DIV/0!</v>
      </c>
      <c r="AA222" s="76"/>
      <c r="AB222" s="68" t="s">
        <v>120</v>
      </c>
      <c r="AC222" s="71"/>
      <c r="AD222" s="80" t="e">
        <f>SUM(C222:Z222)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EE12-920D-8D41-B498-5DC155374814}">
  <dimension ref="A1:G7"/>
  <sheetViews>
    <sheetView workbookViewId="0">
      <selection activeCell="J17" sqref="J17"/>
    </sheetView>
  </sheetViews>
  <sheetFormatPr baseColWidth="10" defaultColWidth="10.6640625" defaultRowHeight="16"/>
  <sheetData>
    <row r="1" spans="1:7">
      <c r="B1" s="28" t="s">
        <v>20</v>
      </c>
      <c r="C1" s="28" t="s">
        <v>27</v>
      </c>
      <c r="D1" s="28" t="s">
        <v>12</v>
      </c>
      <c r="E1" s="28" t="s">
        <v>29</v>
      </c>
      <c r="F1" s="28" t="s">
        <v>41</v>
      </c>
      <c r="G1" s="95" t="s">
        <v>37</v>
      </c>
    </row>
    <row r="2" spans="1:7">
      <c r="A2" s="28" t="s">
        <v>20</v>
      </c>
      <c r="B2" s="18">
        <f>CORREL([1]RATIOS!Q$3:Q$45,[1]RATIOS!Q$3:Q$45)</f>
        <v>0.99999999999999989</v>
      </c>
      <c r="C2" s="18">
        <f>CORREL([1]RATIOS!J$3:J$45,[1]RATIOS!Q$3:Q$45)</f>
        <v>0.66271201798151114</v>
      </c>
      <c r="D2" s="18">
        <f>CORREL([1]RATIOS!H$3:H$45,[1]RATIOS!Q$3:Q$45)</f>
        <v>0.66271201798151114</v>
      </c>
      <c r="E2" s="18">
        <f>CORREL([1]RATIOS!C$3:C$45,[1]RATIOS!Q$3:Q$45)</f>
        <v>0.10941559687461996</v>
      </c>
      <c r="F2" s="18">
        <f>CORREL([1]RATIOS!O$3:O$45,[1]RATIOS!Q$3:Q$45)</f>
        <v>0.12990998387682931</v>
      </c>
      <c r="G2">
        <f>CORREL([1]RATIOS!L$3:L$45,[1]RATIOS!Q$3:Q$45)</f>
        <v>0.1372135748251779</v>
      </c>
    </row>
    <row r="3" spans="1:7">
      <c r="A3" s="28" t="s">
        <v>27</v>
      </c>
      <c r="B3" s="56">
        <f>CORREL([1]RATIOS!Q$3:Q$45,[1]RATIOS!J$3:J$45)</f>
        <v>0.66271201798151114</v>
      </c>
      <c r="C3" s="18">
        <v>1</v>
      </c>
      <c r="D3" s="18">
        <f>CORREL([1]RATIOS!H$3:H$45,[1]RATIOS!J$3:J$45)</f>
        <v>1</v>
      </c>
      <c r="E3" s="18">
        <f>CORREL([1]RATIOS!C$3:C$45,[1]RATIOS!J$3:J$45)</f>
        <v>0.25510700146125914</v>
      </c>
      <c r="F3" s="18">
        <f>CORREL([1]RATIOS!O$3:O$45,[1]RATIOS!J$3:J$45)</f>
        <v>0.17308974320249088</v>
      </c>
      <c r="G3">
        <f>CORREL([1]RATIOS!L$3:L$45,[1]RATIOS!J$3:J$45)</f>
        <v>0.20536706731325971</v>
      </c>
    </row>
    <row r="4" spans="1:7">
      <c r="A4" s="28" t="s">
        <v>12</v>
      </c>
      <c r="B4" s="56">
        <f>CORREL([1]RATIOS!Q$3:Q$45,[1]RATIOS!H$3:H$45)</f>
        <v>0.66271201798151114</v>
      </c>
      <c r="C4" s="56">
        <f>CORREL([1]RATIOS!J$3:J$45,[1]RATIOS!H$3:H$45)</f>
        <v>1</v>
      </c>
      <c r="D4" s="18">
        <v>1</v>
      </c>
      <c r="E4" s="18">
        <f>CORREL([1]RATIOS!C$3:C$45,[1]RATIOS!H$3:H$45)</f>
        <v>0.25510700146125914</v>
      </c>
      <c r="F4" s="18">
        <f>CORREL([1]RATIOS!O$3:O$45,[1]RATIOS!H$3:H$45)</f>
        <v>0.17308974320249088</v>
      </c>
      <c r="G4">
        <f>CORREL([1]RATIOS!L$3:L$45,[1]RATIOS!H$3:H$45)</f>
        <v>0.20536706731325971</v>
      </c>
    </row>
    <row r="5" spans="1:7">
      <c r="A5" s="28" t="s">
        <v>29</v>
      </c>
      <c r="B5" s="56">
        <f>CORREL([1]RATIOS!Q$3:Q$45,[1]RATIOS!C$3:C$45)</f>
        <v>0.10941559687461996</v>
      </c>
      <c r="C5" s="56">
        <f>CORREL([1]RATIOS!J$3:J$45,[1]RATIOS!C$3:C$45)</f>
        <v>0.25510700146125914</v>
      </c>
      <c r="D5" s="56">
        <f>CORREL([1]RATIOS!H$3:H$45,[1]RATIOS!C$3:C$45)</f>
        <v>0.25510700146125914</v>
      </c>
      <c r="E5" s="18">
        <v>1</v>
      </c>
      <c r="F5" s="18">
        <f>CORREL([1]RATIOS!O$3:O$45,[1]RATIOS!C$3:C$45)</f>
        <v>0.1628932901930733</v>
      </c>
      <c r="G5">
        <f>CORREL([1]RATIOS!L$3:L$45,[1]RATIOS!C$3:C$45)</f>
        <v>0.36650543910124467</v>
      </c>
    </row>
    <row r="6" spans="1:7">
      <c r="A6" s="28" t="s">
        <v>41</v>
      </c>
      <c r="B6" s="56">
        <f>CORREL([1]RATIOS!Q$3:Q$45,[1]RATIOS!O$3:O$45)</f>
        <v>0.12990998387682931</v>
      </c>
      <c r="C6" s="56">
        <v>0.40119462315940929</v>
      </c>
      <c r="D6" s="56">
        <f>CORREL([1]RATIOS!H$3:H$45,[1]RATIOS!O$3:O$45)</f>
        <v>0.17308974320249088</v>
      </c>
      <c r="E6" s="56">
        <f>CORREL([1]RATIOS!C$3:C$45,[1]RATIOS!O$3:O$45)</f>
        <v>0.1628932901930733</v>
      </c>
      <c r="F6" s="18">
        <f>CORREL([1]RATIOS!O$3:O$45,[1]RATIOS!O$3:O$45)</f>
        <v>1</v>
      </c>
      <c r="G6">
        <f>CORREL([1]RATIOS!L$3:L$45,[1]RATIOS!O$3:O$45)</f>
        <v>5.6287140571130753E-2</v>
      </c>
    </row>
    <row r="7" spans="1:7">
      <c r="A7" s="95" t="s">
        <v>37</v>
      </c>
      <c r="B7">
        <f>CORREL([1]RATIOS!Q$3:Q$45,[1]RATIOS!L$3:L$45)</f>
        <v>0.1372135748251779</v>
      </c>
      <c r="C7">
        <f>CORREL([1]RATIOS!J$3:J$45,[1]RATIOS!L$3:L$45)</f>
        <v>0.20536706731325971</v>
      </c>
      <c r="D7">
        <f>CORREL([1]RATIOS!H$3:H$45,[1]RATIOS!L$3:L$45)</f>
        <v>0.20536706731325971</v>
      </c>
      <c r="E7">
        <f>CORREL([1]RATIOS!C$3:C$45,[1]RATIOS!L$3:L$45)</f>
        <v>0.36650543910124467</v>
      </c>
      <c r="F7">
        <f>CORREL([1]RATIOS!O$3:O$45,[1]RATIOS!L$3:L$45)</f>
        <v>5.6287140571130753E-2</v>
      </c>
      <c r="G7">
        <f>CORREL([1]RATIOS!L$3:L$45,[1]RATIOS!L$3:L$45)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Indv. stocks</vt:lpstr>
      <vt:lpstr>HPR and risk</vt:lpstr>
      <vt:lpstr>Prices </vt:lpstr>
      <vt:lpstr>4 years Indv. stocks </vt:lpstr>
      <vt:lpstr>Correlation 4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xoxo xoxo</cp:lastModifiedBy>
  <dcterms:created xsi:type="dcterms:W3CDTF">2021-06-18T21:50:11Z</dcterms:created>
  <dcterms:modified xsi:type="dcterms:W3CDTF">2025-12-01T18:31:39Z</dcterms:modified>
</cp:coreProperties>
</file>